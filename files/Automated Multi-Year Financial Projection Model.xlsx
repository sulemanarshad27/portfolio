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leman/Documents/AIr University/7th Semester/Financial modeling/"/>
    </mc:Choice>
  </mc:AlternateContent>
  <xr:revisionPtr revIDLastSave="0" documentId="13_ncr:1_{0D5AF19F-911C-DF44-B3EC-9DC907E82276}" xr6:coauthVersionLast="45" xr6:coauthVersionMax="45" xr10:uidLastSave="{00000000-0000-0000-0000-000000000000}"/>
  <bookViews>
    <workbookView showSheetTabs="0" xWindow="380" yWindow="500" windowWidth="28040" windowHeight="16080" xr2:uid="{F97DBC22-3B42-654B-8BF3-BF1CD6013AE4}"/>
  </bookViews>
  <sheets>
    <sheet name="Home" sheetId="4" r:id="rId1"/>
    <sheet name="Financial model" sheetId="1" r:id="rId2"/>
    <sheet name="Free Cash Flows" sheetId="2" r:id="rId3"/>
    <sheet name="Statement of Cashflows" sheetId="3" r:id="rId4"/>
  </sheet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" l="1"/>
  <c r="G15" i="1" l="1"/>
  <c r="F16" i="1"/>
  <c r="F17" i="1"/>
  <c r="F36" i="1"/>
  <c r="C17" i="3" s="1"/>
  <c r="F33" i="1"/>
  <c r="F29" i="1"/>
  <c r="C16" i="3" s="1"/>
  <c r="D15" i="2"/>
  <c r="D16" i="2" l="1"/>
  <c r="H15" i="1"/>
  <c r="G16" i="1"/>
  <c r="G17" i="1"/>
  <c r="G36" i="1"/>
  <c r="D17" i="3" s="1"/>
  <c r="G29" i="1"/>
  <c r="D16" i="3" s="1"/>
  <c r="G33" i="1"/>
  <c r="E15" i="2" l="1"/>
  <c r="E16" i="2"/>
  <c r="I15" i="1"/>
  <c r="H17" i="1"/>
  <c r="H16" i="1"/>
  <c r="H29" i="1"/>
  <c r="E16" i="3" s="1"/>
  <c r="H36" i="1"/>
  <c r="H33" i="1"/>
  <c r="F15" i="2" l="1"/>
  <c r="E17" i="3"/>
  <c r="F16" i="2"/>
  <c r="J15" i="1"/>
  <c r="I29" i="1"/>
  <c r="I17" i="1"/>
  <c r="I16" i="1"/>
  <c r="I33" i="1"/>
  <c r="I36" i="1"/>
  <c r="F17" i="3" l="1"/>
  <c r="G16" i="2"/>
  <c r="F16" i="3"/>
  <c r="G15" i="2"/>
  <c r="K15" i="1"/>
  <c r="J33" i="1"/>
  <c r="J29" i="1"/>
  <c r="J17" i="1"/>
  <c r="J16" i="1"/>
  <c r="J36" i="1"/>
  <c r="L15" i="1" l="1"/>
  <c r="K36" i="1"/>
  <c r="K33" i="1"/>
  <c r="K29" i="1"/>
  <c r="K17" i="1"/>
  <c r="K16" i="1"/>
  <c r="G17" i="3"/>
  <c r="H16" i="2"/>
  <c r="G16" i="3"/>
  <c r="H15" i="2"/>
  <c r="H16" i="3" l="1"/>
  <c r="I15" i="2"/>
  <c r="H17" i="3"/>
  <c r="I16" i="2"/>
  <c r="M15" i="1"/>
  <c r="L36" i="1"/>
  <c r="L33" i="1"/>
  <c r="L29" i="1"/>
  <c r="L17" i="1"/>
  <c r="L16" i="1"/>
  <c r="N15" i="1" l="1"/>
  <c r="M36" i="1"/>
  <c r="M33" i="1"/>
  <c r="M29" i="1"/>
  <c r="M17" i="1"/>
  <c r="M16" i="1"/>
  <c r="I16" i="3"/>
  <c r="J15" i="2"/>
  <c r="I17" i="3"/>
  <c r="J16" i="2"/>
  <c r="J17" i="3" l="1"/>
  <c r="K16" i="2"/>
  <c r="J16" i="3"/>
  <c r="K15" i="2"/>
  <c r="O15" i="1"/>
  <c r="N36" i="1"/>
  <c r="N33" i="1"/>
  <c r="N17" i="1"/>
  <c r="N29" i="1"/>
  <c r="N16" i="1"/>
  <c r="K17" i="3" l="1"/>
  <c r="L16" i="2"/>
  <c r="K16" i="3"/>
  <c r="L15" i="2"/>
  <c r="O16" i="1"/>
  <c r="O17" i="1"/>
  <c r="O36" i="1"/>
  <c r="O33" i="1"/>
  <c r="O29" i="1"/>
  <c r="L17" i="3" l="1"/>
  <c r="M16" i="2"/>
  <c r="L16" i="3"/>
  <c r="M15" i="2"/>
  <c r="F18" i="1" l="1"/>
  <c r="G18" i="1"/>
  <c r="H18" i="1"/>
  <c r="I18" i="1"/>
  <c r="J18" i="1"/>
  <c r="K18" i="1"/>
  <c r="L18" i="1"/>
  <c r="M18" i="1"/>
  <c r="N18" i="1"/>
  <c r="O18" i="1"/>
  <c r="F19" i="1"/>
  <c r="G19" i="1"/>
  <c r="H19" i="1"/>
  <c r="I19" i="1"/>
  <c r="J19" i="1"/>
  <c r="K19" i="1"/>
  <c r="L19" i="1"/>
  <c r="M19" i="1"/>
  <c r="N19" i="1"/>
  <c r="O19" i="1"/>
  <c r="F20" i="1"/>
  <c r="G20" i="1"/>
  <c r="H20" i="1"/>
  <c r="I20" i="1"/>
  <c r="J20" i="1"/>
  <c r="K20" i="1"/>
  <c r="L20" i="1"/>
  <c r="M20" i="1"/>
  <c r="N20" i="1"/>
  <c r="O20" i="1"/>
  <c r="F21" i="1"/>
  <c r="G21" i="1"/>
  <c r="H21" i="1"/>
  <c r="I21" i="1"/>
  <c r="J21" i="1"/>
  <c r="K21" i="1"/>
  <c r="L21" i="1"/>
  <c r="M21" i="1"/>
  <c r="N21" i="1"/>
  <c r="O21" i="1"/>
  <c r="F22" i="1"/>
  <c r="G22" i="1"/>
  <c r="H22" i="1"/>
  <c r="I22" i="1"/>
  <c r="J22" i="1"/>
  <c r="K22" i="1"/>
  <c r="L22" i="1"/>
  <c r="M22" i="1"/>
  <c r="N22" i="1"/>
  <c r="O22" i="1"/>
  <c r="F23" i="1"/>
  <c r="G23" i="1"/>
  <c r="H23" i="1"/>
  <c r="I23" i="1"/>
  <c r="J23" i="1"/>
  <c r="K23" i="1"/>
  <c r="L23" i="1"/>
  <c r="M23" i="1"/>
  <c r="N23" i="1"/>
  <c r="O23" i="1"/>
  <c r="F24" i="1"/>
  <c r="G24" i="1"/>
  <c r="H24" i="1"/>
  <c r="I24" i="1"/>
  <c r="J24" i="1"/>
  <c r="K24" i="1"/>
  <c r="L24" i="1"/>
  <c r="M24" i="1"/>
  <c r="N24" i="1"/>
  <c r="O24" i="1"/>
  <c r="F25" i="1"/>
  <c r="G25" i="1"/>
  <c r="H25" i="1"/>
  <c r="I25" i="1"/>
  <c r="J25" i="1"/>
  <c r="K25" i="1"/>
  <c r="L25" i="1"/>
  <c r="M25" i="1"/>
  <c r="N25" i="1"/>
  <c r="O25" i="1"/>
  <c r="F28" i="1"/>
  <c r="G28" i="1"/>
  <c r="H28" i="1"/>
  <c r="I28" i="1"/>
  <c r="J28" i="1"/>
  <c r="K28" i="1"/>
  <c r="L28" i="1"/>
  <c r="M28" i="1"/>
  <c r="N28" i="1"/>
  <c r="O28" i="1"/>
  <c r="F31" i="1"/>
  <c r="G31" i="1"/>
  <c r="H31" i="1"/>
  <c r="I31" i="1"/>
  <c r="J31" i="1"/>
  <c r="K31" i="1"/>
  <c r="L31" i="1"/>
  <c r="M31" i="1"/>
  <c r="N31" i="1"/>
  <c r="O31" i="1"/>
  <c r="F32" i="1"/>
  <c r="G32" i="1"/>
  <c r="H32" i="1"/>
  <c r="I32" i="1"/>
  <c r="J32" i="1"/>
  <c r="K32" i="1"/>
  <c r="L32" i="1"/>
  <c r="M32" i="1"/>
  <c r="N32" i="1"/>
  <c r="O32" i="1"/>
  <c r="F34" i="1"/>
  <c r="G34" i="1"/>
  <c r="H34" i="1"/>
  <c r="I34" i="1"/>
  <c r="J34" i="1"/>
  <c r="K34" i="1"/>
  <c r="L34" i="1"/>
  <c r="M34" i="1"/>
  <c r="N34" i="1"/>
  <c r="O34" i="1"/>
  <c r="F37" i="1"/>
  <c r="G37" i="1"/>
  <c r="H37" i="1"/>
  <c r="I37" i="1"/>
  <c r="J37" i="1"/>
  <c r="K37" i="1"/>
  <c r="L37" i="1"/>
  <c r="M37" i="1"/>
  <c r="N37" i="1"/>
  <c r="O37" i="1"/>
  <c r="F39" i="1"/>
  <c r="G39" i="1"/>
  <c r="H39" i="1"/>
  <c r="I39" i="1"/>
  <c r="J39" i="1"/>
  <c r="K39" i="1"/>
  <c r="L39" i="1"/>
  <c r="M39" i="1"/>
  <c r="N39" i="1"/>
  <c r="O39" i="1"/>
  <c r="F40" i="1"/>
  <c r="G40" i="1"/>
  <c r="H40" i="1"/>
  <c r="I40" i="1"/>
  <c r="J40" i="1"/>
  <c r="K40" i="1"/>
  <c r="L40" i="1"/>
  <c r="M40" i="1"/>
  <c r="N40" i="1"/>
  <c r="O40" i="1"/>
  <c r="D13" i="2"/>
  <c r="E13" i="2"/>
  <c r="F13" i="2"/>
  <c r="G13" i="2"/>
  <c r="H13" i="2"/>
  <c r="I13" i="2"/>
  <c r="J13" i="2"/>
  <c r="K13" i="2"/>
  <c r="L13" i="2"/>
  <c r="M13" i="2"/>
  <c r="D14" i="2"/>
  <c r="E14" i="2"/>
  <c r="F14" i="2"/>
  <c r="G14" i="2"/>
  <c r="H14" i="2"/>
  <c r="I14" i="2"/>
  <c r="J14" i="2"/>
  <c r="K14" i="2"/>
  <c r="L14" i="2"/>
  <c r="M14" i="2"/>
  <c r="D17" i="2"/>
  <c r="E17" i="2"/>
  <c r="F17" i="2"/>
  <c r="G17" i="2"/>
  <c r="H17" i="2"/>
  <c r="I17" i="2"/>
  <c r="J17" i="2"/>
  <c r="K17" i="2"/>
  <c r="L17" i="2"/>
  <c r="M17" i="2"/>
  <c r="D18" i="2"/>
  <c r="E18" i="2"/>
  <c r="F18" i="2"/>
  <c r="G18" i="2"/>
  <c r="H18" i="2"/>
  <c r="I18" i="2"/>
  <c r="J18" i="2"/>
  <c r="K18" i="2"/>
  <c r="L18" i="2"/>
  <c r="M18" i="2"/>
  <c r="D19" i="2"/>
  <c r="E19" i="2"/>
  <c r="F19" i="2"/>
  <c r="G19" i="2"/>
  <c r="H19" i="2"/>
  <c r="I19" i="2"/>
  <c r="J19" i="2"/>
  <c r="K19" i="2"/>
  <c r="L19" i="2"/>
  <c r="M19" i="2"/>
  <c r="D20" i="2"/>
  <c r="E20" i="2"/>
  <c r="F20" i="2"/>
  <c r="G20" i="2"/>
  <c r="H20" i="2"/>
  <c r="I20" i="2"/>
  <c r="J20" i="2"/>
  <c r="K20" i="2"/>
  <c r="L20" i="2"/>
  <c r="M20" i="2"/>
  <c r="C13" i="3"/>
  <c r="D13" i="3"/>
  <c r="E13" i="3"/>
  <c r="F13" i="3"/>
  <c r="G13" i="3"/>
  <c r="H13" i="3"/>
  <c r="I13" i="3"/>
  <c r="J13" i="3"/>
  <c r="K13" i="3"/>
  <c r="L13" i="3"/>
  <c r="C14" i="3"/>
  <c r="D14" i="3"/>
  <c r="E14" i="3"/>
  <c r="F14" i="3"/>
  <c r="G14" i="3"/>
  <c r="H14" i="3"/>
  <c r="I14" i="3"/>
  <c r="J14" i="3"/>
  <c r="K14" i="3"/>
  <c r="L14" i="3"/>
  <c r="C18" i="3"/>
  <c r="D18" i="3"/>
  <c r="E18" i="3"/>
  <c r="F18" i="3"/>
  <c r="G18" i="3"/>
  <c r="H18" i="3"/>
  <c r="I18" i="3"/>
  <c r="J18" i="3"/>
  <c r="K18" i="3"/>
  <c r="L18" i="3"/>
  <c r="C21" i="3"/>
  <c r="D21" i="3"/>
  <c r="E21" i="3"/>
  <c r="F21" i="3"/>
  <c r="G21" i="3"/>
  <c r="H21" i="3"/>
  <c r="I21" i="3"/>
  <c r="J21" i="3"/>
  <c r="K21" i="3"/>
  <c r="L21" i="3"/>
  <c r="C24" i="3"/>
  <c r="D24" i="3"/>
  <c r="E24" i="3"/>
  <c r="F24" i="3"/>
  <c r="G24" i="3"/>
  <c r="H24" i="3"/>
  <c r="I24" i="3"/>
  <c r="J24" i="3"/>
  <c r="K24" i="3"/>
  <c r="L24" i="3"/>
  <c r="C27" i="3"/>
  <c r="D27" i="3"/>
  <c r="E27" i="3"/>
  <c r="F27" i="3"/>
  <c r="G27" i="3"/>
  <c r="H27" i="3"/>
  <c r="I27" i="3"/>
  <c r="J27" i="3"/>
  <c r="K27" i="3"/>
  <c r="L27" i="3"/>
  <c r="C29" i="3"/>
  <c r="D29" i="3"/>
  <c r="E29" i="3"/>
  <c r="F29" i="3"/>
  <c r="G29" i="3"/>
  <c r="H29" i="3"/>
  <c r="I29" i="3"/>
  <c r="J29" i="3"/>
  <c r="K29" i="3"/>
  <c r="L29" i="3"/>
  <c r="C30" i="3"/>
  <c r="D30" i="3"/>
  <c r="E30" i="3"/>
  <c r="F30" i="3"/>
  <c r="G30" i="3"/>
  <c r="H30" i="3"/>
  <c r="I30" i="3"/>
  <c r="J30" i="3"/>
  <c r="K30" i="3"/>
  <c r="L30" i="3"/>
  <c r="C32" i="3"/>
  <c r="D32" i="3"/>
  <c r="E32" i="3"/>
  <c r="F32" i="3"/>
  <c r="G32" i="3"/>
  <c r="H32" i="3"/>
  <c r="I32" i="3"/>
  <c r="J32" i="3"/>
  <c r="K32" i="3"/>
  <c r="L32" i="3"/>
  <c r="C33" i="3"/>
  <c r="D33" i="3"/>
  <c r="E33" i="3"/>
  <c r="F33" i="3"/>
  <c r="G33" i="3"/>
  <c r="H33" i="3"/>
  <c r="I33" i="3"/>
  <c r="J33" i="3"/>
  <c r="K33" i="3"/>
  <c r="L33" i="3"/>
</calcChain>
</file>

<file path=xl/sharedStrings.xml><?xml version="1.0" encoding="utf-8"?>
<sst xmlns="http://schemas.openxmlformats.org/spreadsheetml/2006/main" count="87" uniqueCount="76">
  <si>
    <t>Sales growth</t>
  </si>
  <si>
    <t>Current assets/Sales</t>
  </si>
  <si>
    <t>Current liabilities/Sales</t>
  </si>
  <si>
    <t>Net fixed assets/Sales</t>
  </si>
  <si>
    <t>Capex/Sales</t>
  </si>
  <si>
    <t>Costs of goods sold/Sales</t>
  </si>
  <si>
    <t>Depreciation rate</t>
  </si>
  <si>
    <t>Asset life for Depreciation</t>
  </si>
  <si>
    <t>10 years</t>
  </si>
  <si>
    <t>Interest rate on debt</t>
  </si>
  <si>
    <t>Operating expenses/sales</t>
  </si>
  <si>
    <t>Interest rate on cash and marketable securities</t>
  </si>
  <si>
    <t>Tax rate</t>
  </si>
  <si>
    <t>Dividend payout ratio</t>
  </si>
  <si>
    <t>Target Debt to Equity Ratio</t>
  </si>
  <si>
    <t>Year</t>
  </si>
  <si>
    <t>Income Statement</t>
  </si>
  <si>
    <t>Sales</t>
  </si>
  <si>
    <t>Costs of goods sold</t>
  </si>
  <si>
    <t>Interest payments on debt</t>
  </si>
  <si>
    <t>Interest earned on cash and m. securities</t>
  </si>
  <si>
    <t>Depreciation</t>
  </si>
  <si>
    <t>Profit before tax</t>
  </si>
  <si>
    <t>Taxes</t>
  </si>
  <si>
    <t>Profit after tax</t>
  </si>
  <si>
    <t>Dividends</t>
  </si>
  <si>
    <t>Retained earnings</t>
  </si>
  <si>
    <t xml:space="preserve">Balance sheet </t>
  </si>
  <si>
    <t>Cash and marketable securities</t>
  </si>
  <si>
    <t>Current assets</t>
  </si>
  <si>
    <t>Fixed assets</t>
  </si>
  <si>
    <t xml:space="preserve">    At cost</t>
  </si>
  <si>
    <t xml:space="preserve">    Depreciation</t>
  </si>
  <si>
    <t xml:space="preserve">    Net fixed assets</t>
  </si>
  <si>
    <t>Total assets</t>
  </si>
  <si>
    <t>Current liabilities</t>
  </si>
  <si>
    <t>Debt</t>
  </si>
  <si>
    <t>Stock</t>
  </si>
  <si>
    <t>Accumulated retained earnings</t>
  </si>
  <si>
    <t>Total liabilities and equity</t>
  </si>
  <si>
    <t>Operating expenses</t>
  </si>
  <si>
    <t>$  ,000</t>
  </si>
  <si>
    <t>Profit After Tax</t>
  </si>
  <si>
    <r>
      <rPr>
        <b/>
        <sz val="12"/>
        <color theme="1"/>
        <rFont val="Times New Roman"/>
        <family val="1"/>
      </rPr>
      <t>Add</t>
    </r>
    <r>
      <rPr>
        <sz val="12"/>
        <color theme="1"/>
        <rFont val="Calibri"/>
        <family val="2"/>
        <scheme val="minor"/>
      </rPr>
      <t>: Depreciation</t>
    </r>
  </si>
  <si>
    <r>
      <rPr>
        <b/>
        <sz val="12"/>
        <color theme="1"/>
        <rFont val="Times New Roman"/>
        <family val="1"/>
      </rPr>
      <t>Subtract</t>
    </r>
    <r>
      <rPr>
        <sz val="12"/>
        <color theme="1"/>
        <rFont val="Times New Roman"/>
        <family val="1"/>
      </rPr>
      <t>: Increase in Current assets</t>
    </r>
  </si>
  <si>
    <r>
      <rPr>
        <b/>
        <sz val="12"/>
        <color theme="1"/>
        <rFont val="Times New Roman"/>
        <family val="1"/>
      </rPr>
      <t>Add</t>
    </r>
    <r>
      <rPr>
        <sz val="12"/>
        <color theme="1"/>
        <rFont val="Times New Roman"/>
        <family val="1"/>
      </rPr>
      <t>: Increase in Current Liabilities</t>
    </r>
  </si>
  <si>
    <r>
      <rPr>
        <b/>
        <sz val="12"/>
        <color theme="1"/>
        <rFont val="Times New Roman"/>
        <family val="1"/>
      </rPr>
      <t>Subtract</t>
    </r>
    <r>
      <rPr>
        <sz val="12"/>
        <color theme="1"/>
        <rFont val="Times New Roman"/>
        <family val="1"/>
      </rPr>
      <t>: Increase in fixed assets at cost</t>
    </r>
  </si>
  <si>
    <r>
      <rPr>
        <b/>
        <sz val="12"/>
        <color theme="1"/>
        <rFont val="Times New Roman"/>
        <family val="1"/>
      </rPr>
      <t>Add</t>
    </r>
    <r>
      <rPr>
        <sz val="12"/>
        <color theme="1"/>
        <rFont val="Calibri"/>
        <family val="2"/>
        <scheme val="minor"/>
      </rPr>
      <t>: After-tax interest on debt</t>
    </r>
  </si>
  <si>
    <r>
      <rPr>
        <b/>
        <sz val="12"/>
        <color theme="1"/>
        <rFont val="Times New Roman"/>
        <family val="1"/>
      </rPr>
      <t>Subtract</t>
    </r>
    <r>
      <rPr>
        <sz val="12"/>
        <color theme="1"/>
        <rFont val="Calibri"/>
        <family val="2"/>
        <scheme val="minor"/>
      </rPr>
      <t>: After-tax interest on Cash and Marketable securities</t>
    </r>
  </si>
  <si>
    <t>FREE CASH FLOW</t>
  </si>
  <si>
    <r>
      <t>Profit</t>
    </r>
    <r>
      <rPr>
        <sz val="12"/>
        <rFont val="Times New Roman"/>
        <family val="1"/>
      </rPr>
      <t xml:space="preserve">  </t>
    </r>
    <r>
      <rPr>
        <sz val="12"/>
        <color indexed="63"/>
        <rFont val="Times New Roman"/>
        <family val="1"/>
      </rPr>
      <t>after</t>
    </r>
    <r>
      <rPr>
        <sz val="12"/>
        <rFont val="Times New Roman"/>
        <family val="1"/>
      </rPr>
      <t xml:space="preserve">  </t>
    </r>
    <r>
      <rPr>
        <sz val="12"/>
        <color indexed="63"/>
        <rFont val="Times New Roman"/>
        <family val="1"/>
      </rPr>
      <t>tax</t>
    </r>
  </si>
  <si>
    <r>
      <t>Add</t>
    </r>
    <r>
      <rPr>
        <sz val="12"/>
        <rFont val="Times New Roman"/>
        <family val="1"/>
      </rPr>
      <t xml:space="preserve">  </t>
    </r>
    <r>
      <rPr>
        <sz val="12"/>
        <color indexed="63"/>
        <rFont val="Times New Roman"/>
        <family val="1"/>
      </rPr>
      <t>back</t>
    </r>
    <r>
      <rPr>
        <sz val="12"/>
        <rFont val="Times New Roman"/>
        <family val="1"/>
      </rPr>
      <t xml:space="preserve">   </t>
    </r>
    <r>
      <rPr>
        <sz val="12"/>
        <color indexed="63"/>
        <rFont val="Times New Roman"/>
        <family val="1"/>
      </rPr>
      <t>depreciation</t>
    </r>
  </si>
  <si>
    <r>
      <t>Adjust</t>
    </r>
    <r>
      <rPr>
        <sz val="12"/>
        <rFont val="Times New Roman"/>
        <family val="1"/>
      </rPr>
      <t xml:space="preserve">  </t>
    </r>
    <r>
      <rPr>
        <sz val="12"/>
        <color indexed="63"/>
        <rFont val="Times New Roman"/>
        <family val="1"/>
      </rPr>
      <t>for</t>
    </r>
    <r>
      <rPr>
        <sz val="12"/>
        <rFont val="Times New Roman"/>
        <family val="1"/>
      </rPr>
      <t xml:space="preserve">  </t>
    </r>
    <r>
      <rPr>
        <sz val="12"/>
        <color indexed="63"/>
        <rFont val="Times New Roman"/>
        <family val="1"/>
      </rPr>
      <t>changes</t>
    </r>
    <r>
      <rPr>
        <sz val="12"/>
        <rFont val="Times New Roman"/>
        <family val="1"/>
      </rPr>
      <t xml:space="preserve">  </t>
    </r>
    <r>
      <rPr>
        <sz val="12"/>
        <color indexed="63"/>
        <rFont val="Times New Roman"/>
        <family val="1"/>
      </rPr>
      <t>in</t>
    </r>
    <r>
      <rPr>
        <sz val="12"/>
        <rFont val="Times New Roman"/>
        <family val="1"/>
      </rPr>
      <t xml:space="preserve">  </t>
    </r>
    <r>
      <rPr>
        <sz val="12"/>
        <color indexed="63"/>
        <rFont val="Times New Roman"/>
        <family val="1"/>
      </rPr>
      <t>net</t>
    </r>
    <r>
      <rPr>
        <sz val="12"/>
        <rFont val="Times New Roman"/>
        <family val="1"/>
      </rPr>
      <t xml:space="preserve">  </t>
    </r>
    <r>
      <rPr>
        <sz val="12"/>
        <color indexed="63"/>
        <rFont val="Times New Roman"/>
        <family val="1"/>
      </rPr>
      <t>working</t>
    </r>
    <r>
      <rPr>
        <sz val="12"/>
        <rFont val="Times New Roman"/>
        <family val="1"/>
      </rPr>
      <t xml:space="preserve">  </t>
    </r>
    <r>
      <rPr>
        <sz val="12"/>
        <color indexed="63"/>
        <rFont val="Times New Roman"/>
        <family val="1"/>
      </rPr>
      <t>capital:</t>
    </r>
  </si>
  <si>
    <r>
      <t>Subtract</t>
    </r>
    <r>
      <rPr>
        <sz val="12"/>
        <rFont val="Times New Roman"/>
        <family val="1"/>
      </rPr>
      <t xml:space="preserve"> </t>
    </r>
    <r>
      <rPr>
        <sz val="12"/>
        <color indexed="63"/>
        <rFont val="Times New Roman"/>
        <family val="1"/>
      </rPr>
      <t>increase</t>
    </r>
    <r>
      <rPr>
        <sz val="12"/>
        <rFont val="Times New Roman"/>
        <family val="1"/>
      </rPr>
      <t xml:space="preserve">  </t>
    </r>
    <r>
      <rPr>
        <sz val="12"/>
        <color indexed="63"/>
        <rFont val="Times New Roman"/>
        <family val="1"/>
      </rPr>
      <t>in</t>
    </r>
    <r>
      <rPr>
        <sz val="12"/>
        <rFont val="Times New Roman"/>
        <family val="1"/>
      </rPr>
      <t xml:space="preserve">   </t>
    </r>
    <r>
      <rPr>
        <sz val="12"/>
        <color indexed="63"/>
        <rFont val="Times New Roman"/>
        <family val="1"/>
      </rPr>
      <t>current</t>
    </r>
    <r>
      <rPr>
        <sz val="12"/>
        <rFont val="Times New Roman"/>
        <family val="1"/>
      </rPr>
      <t xml:space="preserve"> </t>
    </r>
    <r>
      <rPr>
        <sz val="12"/>
        <color indexed="63"/>
        <rFont val="Times New Roman"/>
        <family val="1"/>
      </rPr>
      <t>assets</t>
    </r>
  </si>
  <si>
    <r>
      <t>Add</t>
    </r>
    <r>
      <rPr>
        <sz val="12"/>
        <rFont val="Times New Roman"/>
        <family val="1"/>
      </rPr>
      <t xml:space="preserve"> </t>
    </r>
    <r>
      <rPr>
        <sz val="12"/>
        <color indexed="63"/>
        <rFont val="Times New Roman"/>
        <family val="1"/>
      </rPr>
      <t>back</t>
    </r>
    <r>
      <rPr>
        <sz val="12"/>
        <rFont val="Times New Roman"/>
        <family val="1"/>
      </rPr>
      <t xml:space="preserve">   </t>
    </r>
    <r>
      <rPr>
        <sz val="12"/>
        <color indexed="63"/>
        <rFont val="Times New Roman"/>
        <family val="1"/>
      </rPr>
      <t>increase</t>
    </r>
    <r>
      <rPr>
        <sz val="12"/>
        <rFont val="Times New Roman"/>
        <family val="1"/>
      </rPr>
      <t xml:space="preserve">  </t>
    </r>
    <r>
      <rPr>
        <sz val="12"/>
        <color indexed="63"/>
        <rFont val="Times New Roman"/>
        <family val="1"/>
      </rPr>
      <t>in</t>
    </r>
    <r>
      <rPr>
        <sz val="12"/>
        <rFont val="Times New Roman"/>
        <family val="1"/>
      </rPr>
      <t xml:space="preserve"> </t>
    </r>
    <r>
      <rPr>
        <sz val="12"/>
        <color indexed="63"/>
        <rFont val="Times New Roman"/>
        <family val="1"/>
      </rPr>
      <t>current</t>
    </r>
    <r>
      <rPr>
        <sz val="12"/>
        <rFont val="Times New Roman"/>
        <family val="1"/>
      </rPr>
      <t xml:space="preserve">  </t>
    </r>
    <r>
      <rPr>
        <sz val="12"/>
        <color indexed="63"/>
        <rFont val="Times New Roman"/>
        <family val="1"/>
      </rPr>
      <t>liabilities</t>
    </r>
  </si>
  <si>
    <r>
      <t>Net</t>
    </r>
    <r>
      <rPr>
        <sz val="12"/>
        <rFont val="Times New Roman"/>
        <family val="1"/>
      </rPr>
      <t xml:space="preserve">  </t>
    </r>
    <r>
      <rPr>
        <sz val="12"/>
        <color indexed="63"/>
        <rFont val="Times New Roman"/>
        <family val="1"/>
      </rPr>
      <t>cash</t>
    </r>
    <r>
      <rPr>
        <sz val="12"/>
        <rFont val="Times New Roman"/>
        <family val="1"/>
      </rPr>
      <t xml:space="preserve"> </t>
    </r>
    <r>
      <rPr>
        <sz val="12"/>
        <color indexed="63"/>
        <rFont val="Times New Roman"/>
        <family val="1"/>
      </rPr>
      <t>from</t>
    </r>
    <r>
      <rPr>
        <sz val="12"/>
        <rFont val="Times New Roman"/>
        <family val="1"/>
      </rPr>
      <t xml:space="preserve">  </t>
    </r>
    <r>
      <rPr>
        <sz val="12"/>
        <color indexed="63"/>
        <rFont val="Times New Roman"/>
        <family val="1"/>
      </rPr>
      <t>operating</t>
    </r>
    <r>
      <rPr>
        <sz val="12"/>
        <rFont val="Times New Roman"/>
        <family val="1"/>
      </rPr>
      <t xml:space="preserve">  </t>
    </r>
    <r>
      <rPr>
        <sz val="12"/>
        <color indexed="63"/>
        <rFont val="Times New Roman"/>
        <family val="1"/>
      </rPr>
      <t>activities</t>
    </r>
  </si>
  <si>
    <r>
      <t>Cash</t>
    </r>
    <r>
      <rPr>
        <sz val="12"/>
        <rFont val="Times New Roman"/>
        <family val="1"/>
      </rPr>
      <t xml:space="preserve">  </t>
    </r>
    <r>
      <rPr>
        <b/>
        <sz val="12"/>
        <color indexed="63"/>
        <rFont val="Times New Roman"/>
        <family val="1"/>
      </rPr>
      <t>flow</t>
    </r>
    <r>
      <rPr>
        <sz val="12"/>
        <rFont val="Times New Roman"/>
        <family val="1"/>
      </rPr>
      <t xml:space="preserve">  </t>
    </r>
    <r>
      <rPr>
        <b/>
        <sz val="12"/>
        <color indexed="63"/>
        <rFont val="Times New Roman"/>
        <family val="1"/>
      </rPr>
      <t>from</t>
    </r>
    <r>
      <rPr>
        <sz val="12"/>
        <rFont val="Times New Roman"/>
        <family val="1"/>
      </rPr>
      <t xml:space="preserve">  </t>
    </r>
    <r>
      <rPr>
        <b/>
        <sz val="12"/>
        <color indexed="63"/>
        <rFont val="Times New Roman"/>
        <family val="1"/>
      </rPr>
      <t>investing</t>
    </r>
    <r>
      <rPr>
        <sz val="12"/>
        <rFont val="Times New Roman"/>
        <family val="1"/>
      </rPr>
      <t xml:space="preserve">  </t>
    </r>
    <r>
      <rPr>
        <b/>
        <sz val="12"/>
        <color indexed="63"/>
        <rFont val="Times New Roman"/>
        <family val="1"/>
      </rPr>
      <t>activities</t>
    </r>
  </si>
  <si>
    <r>
      <t>Aquisitions</t>
    </r>
    <r>
      <rPr>
        <sz val="12"/>
        <rFont val="Times New Roman"/>
        <family val="1"/>
      </rPr>
      <t xml:space="preserve">   </t>
    </r>
    <r>
      <rPr>
        <sz val="12"/>
        <color indexed="63"/>
        <rFont val="Times New Roman"/>
        <family val="1"/>
      </rPr>
      <t>of</t>
    </r>
    <r>
      <rPr>
        <sz val="12"/>
        <rFont val="Times New Roman"/>
        <family val="1"/>
      </rPr>
      <t xml:space="preserve">  </t>
    </r>
    <r>
      <rPr>
        <sz val="12"/>
        <color indexed="63"/>
        <rFont val="Times New Roman"/>
        <family val="1"/>
      </rPr>
      <t>fixed</t>
    </r>
    <r>
      <rPr>
        <sz val="12"/>
        <rFont val="Times New Roman"/>
        <family val="1"/>
      </rPr>
      <t xml:space="preserve">  </t>
    </r>
    <r>
      <rPr>
        <sz val="12"/>
        <color indexed="63"/>
        <rFont val="Times New Roman"/>
        <family val="1"/>
      </rPr>
      <t>assets--capital</t>
    </r>
    <r>
      <rPr>
        <sz val="12"/>
        <rFont val="Times New Roman"/>
        <family val="1"/>
      </rPr>
      <t xml:space="preserve">  </t>
    </r>
    <r>
      <rPr>
        <sz val="12"/>
        <color indexed="63"/>
        <rFont val="Times New Roman"/>
        <family val="1"/>
      </rPr>
      <t>expenditures</t>
    </r>
  </si>
  <si>
    <r>
      <t>Purchases</t>
    </r>
    <r>
      <rPr>
        <sz val="12"/>
        <rFont val="Times New Roman"/>
        <family val="1"/>
      </rPr>
      <t xml:space="preserve">  </t>
    </r>
    <r>
      <rPr>
        <sz val="12"/>
        <color indexed="63"/>
        <rFont val="Times New Roman"/>
        <family val="1"/>
      </rPr>
      <t>of</t>
    </r>
    <r>
      <rPr>
        <sz val="12"/>
        <rFont val="Times New Roman"/>
        <family val="1"/>
      </rPr>
      <t xml:space="preserve">  </t>
    </r>
    <r>
      <rPr>
        <sz val="12"/>
        <color indexed="63"/>
        <rFont val="Times New Roman"/>
        <family val="1"/>
      </rPr>
      <t>investment</t>
    </r>
    <r>
      <rPr>
        <sz val="12"/>
        <rFont val="Times New Roman"/>
        <family val="1"/>
      </rPr>
      <t xml:space="preserve">  </t>
    </r>
    <r>
      <rPr>
        <sz val="12"/>
        <color indexed="63"/>
        <rFont val="Times New Roman"/>
        <family val="1"/>
      </rPr>
      <t>securities</t>
    </r>
  </si>
  <si>
    <r>
      <t>Proceeds</t>
    </r>
    <r>
      <rPr>
        <sz val="12"/>
        <rFont val="Times New Roman"/>
        <family val="1"/>
      </rPr>
      <t xml:space="preserve">   </t>
    </r>
    <r>
      <rPr>
        <sz val="12"/>
        <color indexed="63"/>
        <rFont val="Times New Roman"/>
        <family val="1"/>
      </rPr>
      <t>from</t>
    </r>
    <r>
      <rPr>
        <sz val="12"/>
        <rFont val="Times New Roman"/>
        <family val="1"/>
      </rPr>
      <t xml:space="preserve">  </t>
    </r>
    <r>
      <rPr>
        <sz val="12"/>
        <color indexed="63"/>
        <rFont val="Times New Roman"/>
        <family val="1"/>
      </rPr>
      <t>sales</t>
    </r>
    <r>
      <rPr>
        <sz val="12"/>
        <rFont val="Times New Roman"/>
        <family val="1"/>
      </rPr>
      <t xml:space="preserve"> </t>
    </r>
    <r>
      <rPr>
        <sz val="12"/>
        <color indexed="63"/>
        <rFont val="Times New Roman"/>
        <family val="1"/>
      </rPr>
      <t>of</t>
    </r>
    <r>
      <rPr>
        <sz val="12"/>
        <rFont val="Times New Roman"/>
        <family val="1"/>
      </rPr>
      <t xml:space="preserve">  </t>
    </r>
    <r>
      <rPr>
        <sz val="12"/>
        <color indexed="63"/>
        <rFont val="Times New Roman"/>
        <family val="1"/>
      </rPr>
      <t>investment</t>
    </r>
    <r>
      <rPr>
        <sz val="12"/>
        <rFont val="Times New Roman"/>
        <family val="1"/>
      </rPr>
      <t xml:space="preserve">  </t>
    </r>
    <r>
      <rPr>
        <sz val="12"/>
        <color indexed="63"/>
        <rFont val="Times New Roman"/>
        <family val="1"/>
      </rPr>
      <t>securities</t>
    </r>
  </si>
  <si>
    <r>
      <t>Net</t>
    </r>
    <r>
      <rPr>
        <sz val="12"/>
        <rFont val="Times New Roman"/>
        <family val="1"/>
      </rPr>
      <t xml:space="preserve">  </t>
    </r>
    <r>
      <rPr>
        <sz val="12"/>
        <color indexed="63"/>
        <rFont val="Times New Roman"/>
        <family val="1"/>
      </rPr>
      <t>cash</t>
    </r>
    <r>
      <rPr>
        <sz val="12"/>
        <rFont val="Times New Roman"/>
        <family val="1"/>
      </rPr>
      <t xml:space="preserve"> </t>
    </r>
    <r>
      <rPr>
        <sz val="12"/>
        <color indexed="63"/>
        <rFont val="Times New Roman"/>
        <family val="1"/>
      </rPr>
      <t>used</t>
    </r>
    <r>
      <rPr>
        <sz val="12"/>
        <rFont val="Times New Roman"/>
        <family val="1"/>
      </rPr>
      <t xml:space="preserve">  </t>
    </r>
    <r>
      <rPr>
        <sz val="12"/>
        <color indexed="63"/>
        <rFont val="Times New Roman"/>
        <family val="1"/>
      </rPr>
      <t>in</t>
    </r>
    <r>
      <rPr>
        <sz val="12"/>
        <rFont val="Times New Roman"/>
        <family val="1"/>
      </rPr>
      <t xml:space="preserve">  </t>
    </r>
    <r>
      <rPr>
        <sz val="12"/>
        <color indexed="63"/>
        <rFont val="Times New Roman"/>
        <family val="1"/>
      </rPr>
      <t>investing</t>
    </r>
    <r>
      <rPr>
        <sz val="12"/>
        <rFont val="Times New Roman"/>
        <family val="1"/>
      </rPr>
      <t xml:space="preserve">  </t>
    </r>
    <r>
      <rPr>
        <sz val="12"/>
        <color indexed="63"/>
        <rFont val="Times New Roman"/>
        <family val="1"/>
      </rPr>
      <t>activities</t>
    </r>
  </si>
  <si>
    <r>
      <t>Cash</t>
    </r>
    <r>
      <rPr>
        <sz val="12"/>
        <rFont val="Times New Roman"/>
        <family val="1"/>
      </rPr>
      <t xml:space="preserve">  </t>
    </r>
    <r>
      <rPr>
        <b/>
        <sz val="12"/>
        <color indexed="63"/>
        <rFont val="Times New Roman"/>
        <family val="1"/>
      </rPr>
      <t>flow</t>
    </r>
    <r>
      <rPr>
        <sz val="12"/>
        <rFont val="Times New Roman"/>
        <family val="1"/>
      </rPr>
      <t xml:space="preserve">  </t>
    </r>
    <r>
      <rPr>
        <b/>
        <sz val="12"/>
        <color indexed="63"/>
        <rFont val="Times New Roman"/>
        <family val="1"/>
      </rPr>
      <t>from</t>
    </r>
    <r>
      <rPr>
        <sz val="12"/>
        <rFont val="Times New Roman"/>
        <family val="1"/>
      </rPr>
      <t xml:space="preserve">  </t>
    </r>
    <r>
      <rPr>
        <b/>
        <sz val="12"/>
        <color indexed="63"/>
        <rFont val="Times New Roman"/>
        <family val="1"/>
      </rPr>
      <t>financing</t>
    </r>
    <r>
      <rPr>
        <sz val="12"/>
        <rFont val="Times New Roman"/>
        <family val="1"/>
      </rPr>
      <t xml:space="preserve"> </t>
    </r>
    <r>
      <rPr>
        <b/>
        <sz val="12"/>
        <color indexed="63"/>
        <rFont val="Times New Roman"/>
        <family val="1"/>
      </rPr>
      <t>activities</t>
    </r>
  </si>
  <si>
    <r>
      <t>Net</t>
    </r>
    <r>
      <rPr>
        <sz val="12"/>
        <rFont val="Times New Roman"/>
        <family val="1"/>
      </rPr>
      <t xml:space="preserve">  </t>
    </r>
    <r>
      <rPr>
        <sz val="12"/>
        <color indexed="63"/>
        <rFont val="Times New Roman"/>
        <family val="1"/>
      </rPr>
      <t>proceeds</t>
    </r>
    <r>
      <rPr>
        <sz val="12"/>
        <rFont val="Times New Roman"/>
        <family val="1"/>
      </rPr>
      <t xml:space="preserve">  </t>
    </r>
    <r>
      <rPr>
        <sz val="12"/>
        <color indexed="63"/>
        <rFont val="Times New Roman"/>
        <family val="1"/>
      </rPr>
      <t>from</t>
    </r>
    <r>
      <rPr>
        <sz val="12"/>
        <rFont val="Times New Roman"/>
        <family val="1"/>
      </rPr>
      <t xml:space="preserve">  </t>
    </r>
    <r>
      <rPr>
        <sz val="12"/>
        <color indexed="63"/>
        <rFont val="Times New Roman"/>
        <family val="1"/>
      </rPr>
      <t>borrowing</t>
    </r>
    <r>
      <rPr>
        <sz val="12"/>
        <rFont val="Times New Roman"/>
        <family val="1"/>
      </rPr>
      <t xml:space="preserve">  </t>
    </r>
    <r>
      <rPr>
        <sz val="12"/>
        <color indexed="63"/>
        <rFont val="Times New Roman"/>
        <family val="1"/>
      </rPr>
      <t>activities</t>
    </r>
  </si>
  <si>
    <r>
      <t>Net</t>
    </r>
    <r>
      <rPr>
        <sz val="12"/>
        <rFont val="Times New Roman"/>
        <family val="1"/>
      </rPr>
      <t xml:space="preserve">  </t>
    </r>
    <r>
      <rPr>
        <sz val="12"/>
        <color indexed="63"/>
        <rFont val="Times New Roman"/>
        <family val="1"/>
      </rPr>
      <t>proceeds</t>
    </r>
    <r>
      <rPr>
        <sz val="12"/>
        <rFont val="Times New Roman"/>
        <family val="1"/>
      </rPr>
      <t xml:space="preserve">  </t>
    </r>
    <r>
      <rPr>
        <sz val="12"/>
        <color indexed="63"/>
        <rFont val="Times New Roman"/>
        <family val="1"/>
      </rPr>
      <t>from</t>
    </r>
    <r>
      <rPr>
        <sz val="12"/>
        <rFont val="Times New Roman"/>
        <family val="1"/>
      </rPr>
      <t xml:space="preserve">  </t>
    </r>
    <r>
      <rPr>
        <sz val="12"/>
        <color indexed="63"/>
        <rFont val="Times New Roman"/>
        <family val="1"/>
      </rPr>
      <t>stock</t>
    </r>
    <r>
      <rPr>
        <sz val="12"/>
        <rFont val="Times New Roman"/>
        <family val="1"/>
      </rPr>
      <t xml:space="preserve"> </t>
    </r>
    <r>
      <rPr>
        <sz val="12"/>
        <color indexed="63"/>
        <rFont val="Times New Roman"/>
        <family val="1"/>
      </rPr>
      <t>issues,</t>
    </r>
    <r>
      <rPr>
        <sz val="12"/>
        <rFont val="Times New Roman"/>
        <family val="1"/>
      </rPr>
      <t xml:space="preserve">  </t>
    </r>
    <r>
      <rPr>
        <sz val="12"/>
        <color indexed="63"/>
        <rFont val="Times New Roman"/>
        <family val="1"/>
      </rPr>
      <t>repurchases</t>
    </r>
  </si>
  <si>
    <r>
      <t>Dividends</t>
    </r>
    <r>
      <rPr>
        <sz val="12"/>
        <rFont val="Times New Roman"/>
        <family val="1"/>
      </rPr>
      <t xml:space="preserve">  </t>
    </r>
    <r>
      <rPr>
        <sz val="12"/>
        <color indexed="63"/>
        <rFont val="Times New Roman"/>
        <family val="1"/>
      </rPr>
      <t>paid</t>
    </r>
  </si>
  <si>
    <r>
      <t>Net</t>
    </r>
    <r>
      <rPr>
        <sz val="12"/>
        <rFont val="Times New Roman"/>
        <family val="1"/>
      </rPr>
      <t xml:space="preserve">  </t>
    </r>
    <r>
      <rPr>
        <sz val="12"/>
        <color indexed="63"/>
        <rFont val="Times New Roman"/>
        <family val="1"/>
      </rPr>
      <t>cash</t>
    </r>
    <r>
      <rPr>
        <sz val="12"/>
        <rFont val="Times New Roman"/>
        <family val="1"/>
      </rPr>
      <t xml:space="preserve"> </t>
    </r>
    <r>
      <rPr>
        <sz val="12"/>
        <color indexed="63"/>
        <rFont val="Times New Roman"/>
        <family val="1"/>
      </rPr>
      <t>from</t>
    </r>
    <r>
      <rPr>
        <sz val="12"/>
        <rFont val="Times New Roman"/>
        <family val="1"/>
      </rPr>
      <t xml:space="preserve">  </t>
    </r>
    <r>
      <rPr>
        <sz val="12"/>
        <color indexed="63"/>
        <rFont val="Times New Roman"/>
        <family val="1"/>
      </rPr>
      <t>financing</t>
    </r>
    <r>
      <rPr>
        <sz val="12"/>
        <rFont val="Times New Roman"/>
        <family val="1"/>
      </rPr>
      <t xml:space="preserve">   </t>
    </r>
    <r>
      <rPr>
        <sz val="12"/>
        <color indexed="63"/>
        <rFont val="Times New Roman"/>
        <family val="1"/>
      </rPr>
      <t>activities</t>
    </r>
  </si>
  <si>
    <r>
      <t>Cash</t>
    </r>
    <r>
      <rPr>
        <sz val="12"/>
        <color theme="0"/>
        <rFont val="Times New Roman"/>
        <family val="1"/>
      </rPr>
      <t xml:space="preserve">  </t>
    </r>
    <r>
      <rPr>
        <b/>
        <sz val="12"/>
        <color theme="0"/>
        <rFont val="Times New Roman"/>
        <family val="1"/>
      </rPr>
      <t>flow</t>
    </r>
    <r>
      <rPr>
        <sz val="12"/>
        <color theme="0"/>
        <rFont val="Times New Roman"/>
        <family val="1"/>
      </rPr>
      <t xml:space="preserve">  </t>
    </r>
    <r>
      <rPr>
        <b/>
        <sz val="12"/>
        <color theme="0"/>
        <rFont val="Times New Roman"/>
        <family val="1"/>
      </rPr>
      <t>from</t>
    </r>
    <r>
      <rPr>
        <sz val="12"/>
        <color theme="0"/>
        <rFont val="Times New Roman"/>
        <family val="1"/>
      </rPr>
      <t xml:space="preserve">  </t>
    </r>
    <r>
      <rPr>
        <b/>
        <sz val="12"/>
        <color theme="0"/>
        <rFont val="Times New Roman"/>
        <family val="1"/>
      </rPr>
      <t>operating</t>
    </r>
    <r>
      <rPr>
        <sz val="12"/>
        <color theme="0"/>
        <rFont val="Times New Roman"/>
        <family val="1"/>
      </rPr>
      <t xml:space="preserve">  </t>
    </r>
    <r>
      <rPr>
        <b/>
        <sz val="12"/>
        <color theme="0"/>
        <rFont val="Times New Roman"/>
        <family val="1"/>
      </rPr>
      <t>activities</t>
    </r>
  </si>
  <si>
    <t>Net  increase  in  cash   and  cash  equivalents</t>
  </si>
  <si>
    <t>Check:   changes   in cash  and  mkt.  securities</t>
  </si>
  <si>
    <t>BY</t>
  </si>
  <si>
    <t>Financial model</t>
  </si>
  <si>
    <t>Free CASH FLOW</t>
  </si>
  <si>
    <r>
      <t>CONSOLIDATED</t>
    </r>
    <r>
      <rPr>
        <sz val="16"/>
        <color theme="0"/>
        <rFont val="Gill Sans Ultra Bold"/>
        <family val="2"/>
      </rPr>
      <t xml:space="preserve"> </t>
    </r>
    <r>
      <rPr>
        <b/>
        <sz val="16"/>
        <color theme="0"/>
        <rFont val="Gill Sans Ultra Bold"/>
        <family val="2"/>
      </rPr>
      <t>STATEMENT</t>
    </r>
    <r>
      <rPr>
        <sz val="16"/>
        <color theme="0"/>
        <rFont val="Gill Sans Ultra Bold"/>
        <family val="2"/>
      </rPr>
      <t xml:space="preserve"> </t>
    </r>
    <r>
      <rPr>
        <b/>
        <sz val="16"/>
        <color theme="0"/>
        <rFont val="Gill Sans Ultra Bold"/>
        <family val="2"/>
      </rPr>
      <t>OF</t>
    </r>
    <r>
      <rPr>
        <sz val="16"/>
        <color theme="0"/>
        <rFont val="Gill Sans Ultra Bold"/>
        <family val="2"/>
      </rPr>
      <t xml:space="preserve"> </t>
    </r>
    <r>
      <rPr>
        <b/>
        <sz val="16"/>
        <color theme="0"/>
        <rFont val="Gill Sans Ultra Bold"/>
        <family val="2"/>
      </rPr>
      <t>CASH</t>
    </r>
    <r>
      <rPr>
        <sz val="16"/>
        <color theme="0"/>
        <rFont val="Gill Sans Ultra Bold"/>
        <family val="2"/>
      </rPr>
      <t xml:space="preserve"> </t>
    </r>
    <r>
      <rPr>
        <b/>
        <sz val="16"/>
        <color theme="0"/>
        <rFont val="Gill Sans Ultra Bold"/>
        <family val="2"/>
      </rPr>
      <t>FLOWS:</t>
    </r>
    <r>
      <rPr>
        <sz val="16"/>
        <color theme="0"/>
        <rFont val="Gill Sans Ultra Bold"/>
        <family val="2"/>
      </rPr>
      <t xml:space="preserve">  </t>
    </r>
    <r>
      <rPr>
        <b/>
        <sz val="16"/>
        <color theme="0"/>
        <rFont val="Gill Sans Ultra Bold"/>
        <family val="2"/>
      </rPr>
      <t>RECONCILING</t>
    </r>
    <r>
      <rPr>
        <sz val="16"/>
        <color theme="0"/>
        <rFont val="Gill Sans Ultra Bold"/>
        <family val="2"/>
      </rPr>
      <t xml:space="preserve"> </t>
    </r>
    <r>
      <rPr>
        <b/>
        <sz val="16"/>
        <color theme="0"/>
        <rFont val="Gill Sans Ultra Bold"/>
        <family val="2"/>
      </rPr>
      <t>THE</t>
    </r>
    <r>
      <rPr>
        <sz val="16"/>
        <color theme="0"/>
        <rFont val="Gill Sans Ultra Bold"/>
        <family val="2"/>
      </rPr>
      <t xml:space="preserve"> </t>
    </r>
    <r>
      <rPr>
        <b/>
        <sz val="16"/>
        <color theme="0"/>
        <rFont val="Gill Sans Ultra Bold"/>
        <family val="2"/>
      </rPr>
      <t>CASH</t>
    </r>
    <r>
      <rPr>
        <sz val="16"/>
        <color theme="0"/>
        <rFont val="Gill Sans Ultra Bold"/>
        <family val="2"/>
      </rPr>
      <t xml:space="preserve"> </t>
    </r>
    <r>
      <rPr>
        <b/>
        <sz val="16"/>
        <color theme="0"/>
        <rFont val="Gill Sans Ultra Bold"/>
        <family val="2"/>
      </rPr>
      <t>BALANCES</t>
    </r>
  </si>
  <si>
    <t xml:space="preserve"> PROJECT</t>
  </si>
  <si>
    <t xml:space="preserve"> </t>
  </si>
  <si>
    <t>Suleman Arshad      220746
Aimen Shabir            220804
Duaa Faisal                 220802
Ubaid ur Rehman     220810
Iraj Shaukat               220760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</si>
</sst>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22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2"/>
      <color theme="1"/>
      <name val="Times New Roman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8"/>
      <name val="Calibri"/>
      <family val="2"/>
      <scheme val="minor"/>
    </font>
    <font>
      <b/>
      <sz val="12"/>
      <color indexed="63"/>
      <name val="Times New Roman"/>
      <family val="1"/>
    </font>
    <font>
      <sz val="12"/>
      <name val="Times New Roman"/>
      <family val="1"/>
    </font>
    <font>
      <sz val="12"/>
      <color indexed="63"/>
      <name val="Times New Roman"/>
      <family val="1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Times New Roman"/>
      <family val="1"/>
    </font>
    <font>
      <sz val="12"/>
      <color theme="0"/>
      <name val="Times New Roman"/>
      <family val="1"/>
    </font>
    <font>
      <b/>
      <sz val="18"/>
      <color theme="0"/>
      <name val="Times New Roman"/>
      <family val="1"/>
    </font>
    <font>
      <sz val="9"/>
      <color theme="0"/>
      <name val="Calibri"/>
      <family val="2"/>
      <scheme val="minor"/>
    </font>
    <font>
      <sz val="36"/>
      <color theme="0"/>
      <name val="Gill Sans Ultra Bold"/>
      <family val="2"/>
    </font>
    <font>
      <b/>
      <sz val="16"/>
      <color theme="0"/>
      <name val="Gill Sans Ultra Bold"/>
      <family val="2"/>
    </font>
    <font>
      <sz val="16"/>
      <color theme="0"/>
      <name val="Gill Sans Ultra Bold"/>
      <family val="2"/>
    </font>
    <font>
      <sz val="48"/>
      <color theme="0"/>
      <name val="Gill Sans Ultra Bold"/>
      <family val="2"/>
    </font>
    <font>
      <sz val="20"/>
      <color theme="0"/>
      <name val="Arial Rounded MT Bold"/>
      <family val="2"/>
    </font>
    <font>
      <sz val="22"/>
      <color theme="0"/>
      <name val="Gill Sans Ultra Bold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108">
    <xf numFmtId="0" fontId="0" fillId="0" borderId="0" xfId="0"/>
    <xf numFmtId="0" fontId="2" fillId="0" borderId="1" xfId="0" applyFont="1" applyBorder="1" applyAlignment="1">
      <alignment horizontal="center" vertical="center"/>
    </xf>
    <xf numFmtId="9" fontId="2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9" fontId="2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9" fontId="2" fillId="0" borderId="6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3" fontId="0" fillId="2" borderId="7" xfId="0" applyNumberFormat="1" applyFill="1" applyBorder="1"/>
    <xf numFmtId="0" fontId="0" fillId="3" borderId="0" xfId="0" applyFill="1"/>
    <xf numFmtId="0" fontId="20" fillId="3" borderId="0" xfId="0" applyFont="1" applyFill="1" applyAlignment="1">
      <alignment vertical="center"/>
    </xf>
    <xf numFmtId="0" fontId="11" fillId="3" borderId="0" xfId="0" applyFont="1" applyFill="1"/>
    <xf numFmtId="3" fontId="0" fillId="3" borderId="0" xfId="0" applyNumberFormat="1" applyFill="1"/>
    <xf numFmtId="0" fontId="10" fillId="4" borderId="8" xfId="0" applyNumberFormat="1" applyFont="1" applyFill="1" applyBorder="1" applyAlignment="1">
      <alignment horizontal="center"/>
    </xf>
    <xf numFmtId="0" fontId="10" fillId="4" borderId="9" xfId="0" applyNumberFormat="1" applyFont="1" applyFill="1" applyBorder="1" applyAlignment="1">
      <alignment horizontal="center"/>
    </xf>
    <xf numFmtId="3" fontId="15" fillId="4" borderId="10" xfId="0" applyNumberFormat="1" applyFont="1" applyFill="1" applyBorder="1" applyAlignment="1">
      <alignment horizontal="center"/>
    </xf>
    <xf numFmtId="3" fontId="15" fillId="4" borderId="4" xfId="0" applyNumberFormat="1" applyFont="1" applyFill="1" applyBorder="1" applyAlignment="1">
      <alignment horizontal="center"/>
    </xf>
    <xf numFmtId="0" fontId="5" fillId="5" borderId="14" xfId="1" applyFont="1" applyFill="1" applyBorder="1"/>
    <xf numFmtId="3" fontId="0" fillId="5" borderId="0" xfId="0" applyNumberFormat="1" applyFill="1" applyBorder="1"/>
    <xf numFmtId="3" fontId="0" fillId="5" borderId="6" xfId="0" applyNumberFormat="1" applyFill="1" applyBorder="1"/>
    <xf numFmtId="0" fontId="4" fillId="5" borderId="14" xfId="1" applyFont="1" applyFill="1" applyBorder="1" applyAlignment="1">
      <alignment horizontal="center"/>
    </xf>
    <xf numFmtId="0" fontId="4" fillId="5" borderId="14" xfId="1" applyFont="1" applyFill="1" applyBorder="1"/>
    <xf numFmtId="3" fontId="0" fillId="5" borderId="0" xfId="0" applyNumberFormat="1" applyFont="1" applyFill="1" applyBorder="1"/>
    <xf numFmtId="3" fontId="0" fillId="5" borderId="6" xfId="0" applyNumberFormat="1" applyFont="1" applyFill="1" applyBorder="1"/>
    <xf numFmtId="0" fontId="12" fillId="4" borderId="14" xfId="1" applyFont="1" applyFill="1" applyBorder="1" applyAlignment="1">
      <alignment horizontal="center"/>
    </xf>
    <xf numFmtId="3" fontId="10" fillId="4" borderId="0" xfId="0" applyNumberFormat="1" applyFont="1" applyFill="1" applyBorder="1"/>
    <xf numFmtId="3" fontId="10" fillId="4" borderId="6" xfId="0" applyNumberFormat="1" applyFont="1" applyFill="1" applyBorder="1"/>
    <xf numFmtId="0" fontId="12" fillId="4" borderId="12" xfId="1" applyFont="1" applyFill="1" applyBorder="1" applyAlignment="1">
      <alignment horizontal="center"/>
    </xf>
    <xf numFmtId="3" fontId="10" fillId="4" borderId="10" xfId="0" applyNumberFormat="1" applyFont="1" applyFill="1" applyBorder="1"/>
    <xf numFmtId="3" fontId="10" fillId="4" borderId="4" xfId="0" applyNumberFormat="1" applyFont="1" applyFill="1" applyBorder="1"/>
    <xf numFmtId="0" fontId="4" fillId="6" borderId="14" xfId="1" applyFont="1" applyFill="1" applyBorder="1" applyAlignment="1">
      <alignment horizontal="center"/>
    </xf>
    <xf numFmtId="3" fontId="1" fillId="6" borderId="0" xfId="0" applyNumberFormat="1" applyFont="1" applyFill="1" applyBorder="1"/>
    <xf numFmtId="3" fontId="1" fillId="6" borderId="6" xfId="0" applyNumberFormat="1" applyFont="1" applyFill="1" applyBorder="1"/>
    <xf numFmtId="0" fontId="5" fillId="6" borderId="14" xfId="1" applyFont="1" applyFill="1" applyBorder="1"/>
    <xf numFmtId="3" fontId="0" fillId="6" borderId="0" xfId="0" applyNumberFormat="1" applyFill="1" applyBorder="1"/>
    <xf numFmtId="3" fontId="0" fillId="6" borderId="6" xfId="0" applyNumberFormat="1" applyFill="1" applyBorder="1"/>
    <xf numFmtId="0" fontId="4" fillId="6" borderId="14" xfId="1" applyFont="1" applyFill="1" applyBorder="1"/>
    <xf numFmtId="3" fontId="0" fillId="6" borderId="0" xfId="0" applyNumberFormat="1" applyFont="1" applyFill="1" applyBorder="1"/>
    <xf numFmtId="0" fontId="7" fillId="3" borderId="0" xfId="1" applyFont="1" applyFill="1" applyBorder="1" applyAlignment="1">
      <alignment vertical="top"/>
    </xf>
    <xf numFmtId="164" fontId="0" fillId="3" borderId="0" xfId="0" applyNumberFormat="1" applyFill="1"/>
    <xf numFmtId="0" fontId="12" fillId="4" borderId="14" xfId="1" applyFont="1" applyFill="1" applyBorder="1" applyAlignment="1">
      <alignment horizontal="left" vertical="top"/>
    </xf>
    <xf numFmtId="0" fontId="12" fillId="4" borderId="0" xfId="1" applyFont="1" applyFill="1" applyBorder="1" applyAlignment="1">
      <alignment horizontal="center"/>
    </xf>
    <xf numFmtId="0" fontId="12" fillId="4" borderId="6" xfId="1" applyFont="1" applyFill="1" applyBorder="1" applyAlignment="1">
      <alignment horizontal="center"/>
    </xf>
    <xf numFmtId="0" fontId="13" fillId="4" borderId="14" xfId="1" applyFont="1" applyFill="1" applyBorder="1" applyAlignment="1">
      <alignment horizontal="left" vertical="top"/>
    </xf>
    <xf numFmtId="164" fontId="13" fillId="4" borderId="0" xfId="1" applyNumberFormat="1" applyFont="1" applyFill="1" applyBorder="1" applyAlignment="1">
      <alignment horizontal="right" vertical="top"/>
    </xf>
    <xf numFmtId="164" fontId="13" fillId="4" borderId="6" xfId="1" applyNumberFormat="1" applyFont="1" applyFill="1" applyBorder="1" applyAlignment="1">
      <alignment horizontal="right" vertical="top"/>
    </xf>
    <xf numFmtId="0" fontId="13" fillId="4" borderId="12" xfId="1" applyFont="1" applyFill="1" applyBorder="1" applyAlignment="1">
      <alignment horizontal="left" vertical="top"/>
    </xf>
    <xf numFmtId="164" fontId="13" fillId="4" borderId="10" xfId="1" applyNumberFormat="1" applyFont="1" applyFill="1" applyBorder="1" applyAlignment="1">
      <alignment horizontal="right" vertical="top"/>
    </xf>
    <xf numFmtId="164" fontId="13" fillId="4" borderId="4" xfId="1" applyNumberFormat="1" applyFont="1" applyFill="1" applyBorder="1" applyAlignment="1">
      <alignment horizontal="right" vertical="top"/>
    </xf>
    <xf numFmtId="0" fontId="9" fillId="5" borderId="11" xfId="1" applyFont="1" applyFill="1" applyBorder="1" applyAlignment="1">
      <alignment horizontal="left" vertical="top"/>
    </xf>
    <xf numFmtId="164" fontId="9" fillId="5" borderId="8" xfId="1" applyNumberFormat="1" applyFont="1" applyFill="1" applyBorder="1" applyAlignment="1">
      <alignment horizontal="right" vertical="top"/>
    </xf>
    <xf numFmtId="164" fontId="9" fillId="5" borderId="9" xfId="1" applyNumberFormat="1" applyFont="1" applyFill="1" applyBorder="1" applyAlignment="1">
      <alignment horizontal="right" vertical="top"/>
    </xf>
    <xf numFmtId="0" fontId="9" fillId="5" borderId="14" xfId="1" applyFont="1" applyFill="1" applyBorder="1" applyAlignment="1">
      <alignment horizontal="left" vertical="top"/>
    </xf>
    <xf numFmtId="0" fontId="5" fillId="5" borderId="0" xfId="1" applyFont="1" applyFill="1" applyBorder="1" applyAlignment="1">
      <alignment horizontal="right" vertical="top"/>
    </xf>
    <xf numFmtId="0" fontId="0" fillId="5" borderId="0" xfId="0" applyFill="1" applyBorder="1" applyAlignment="1">
      <alignment horizontal="right"/>
    </xf>
    <xf numFmtId="0" fontId="0" fillId="5" borderId="6" xfId="0" applyFill="1" applyBorder="1" applyAlignment="1">
      <alignment horizontal="right"/>
    </xf>
    <xf numFmtId="164" fontId="9" fillId="5" borderId="0" xfId="1" applyNumberFormat="1" applyFont="1" applyFill="1" applyBorder="1" applyAlignment="1">
      <alignment horizontal="right" vertical="top"/>
    </xf>
    <xf numFmtId="164" fontId="9" fillId="5" borderId="6" xfId="1" applyNumberFormat="1" applyFont="1" applyFill="1" applyBorder="1" applyAlignment="1">
      <alignment horizontal="right" vertical="top"/>
    </xf>
    <xf numFmtId="0" fontId="5" fillId="5" borderId="14" xfId="1" applyFont="1" applyFill="1" applyBorder="1" applyAlignment="1">
      <alignment horizontal="left" vertical="top"/>
    </xf>
    <xf numFmtId="1" fontId="9" fillId="5" borderId="0" xfId="1" applyNumberFormat="1" applyFont="1" applyFill="1" applyBorder="1" applyAlignment="1">
      <alignment horizontal="right" vertical="top"/>
    </xf>
    <xf numFmtId="1" fontId="9" fillId="5" borderId="6" xfId="1" applyNumberFormat="1" applyFont="1" applyFill="1" applyBorder="1" applyAlignment="1">
      <alignment horizontal="right" vertical="top"/>
    </xf>
    <xf numFmtId="164" fontId="9" fillId="6" borderId="6" xfId="1" applyNumberFormat="1" applyFont="1" applyFill="1" applyBorder="1" applyAlignment="1">
      <alignment horizontal="right" vertical="top"/>
    </xf>
    <xf numFmtId="0" fontId="9" fillId="6" borderId="14" xfId="1" applyFont="1" applyFill="1" applyBorder="1" applyAlignment="1">
      <alignment horizontal="left" vertical="top"/>
    </xf>
    <xf numFmtId="164" fontId="9" fillId="6" borderId="0" xfId="1" applyNumberFormat="1" applyFont="1" applyFill="1" applyBorder="1" applyAlignment="1">
      <alignment horizontal="right" vertical="top"/>
    </xf>
    <xf numFmtId="0" fontId="0" fillId="6" borderId="0" xfId="0" applyFill="1" applyBorder="1" applyAlignment="1">
      <alignment horizontal="right"/>
    </xf>
    <xf numFmtId="0" fontId="0" fillId="6" borderId="6" xfId="0" applyFill="1" applyBorder="1" applyAlignment="1">
      <alignment horizontal="right"/>
    </xf>
    <xf numFmtId="0" fontId="7" fillId="6" borderId="14" xfId="1" applyFont="1" applyFill="1" applyBorder="1" applyAlignment="1">
      <alignment horizontal="left" vertical="top"/>
    </xf>
    <xf numFmtId="0" fontId="5" fillId="6" borderId="0" xfId="1" applyFont="1" applyFill="1" applyBorder="1" applyAlignment="1">
      <alignment horizontal="right" vertical="top"/>
    </xf>
    <xf numFmtId="1" fontId="9" fillId="6" borderId="0" xfId="1" applyNumberFormat="1" applyFont="1" applyFill="1" applyBorder="1" applyAlignment="1">
      <alignment horizontal="right" vertical="top"/>
    </xf>
    <xf numFmtId="1" fontId="9" fillId="6" borderId="6" xfId="1" applyNumberFormat="1" applyFont="1" applyFill="1" applyBorder="1" applyAlignment="1">
      <alignment horizontal="right" vertical="top"/>
    </xf>
    <xf numFmtId="0" fontId="12" fillId="4" borderId="15" xfId="1" applyFont="1" applyFill="1" applyBorder="1" applyAlignment="1">
      <alignment horizontal="center"/>
    </xf>
    <xf numFmtId="0" fontId="10" fillId="4" borderId="13" xfId="0" applyFont="1" applyFill="1" applyBorder="1" applyAlignment="1">
      <alignment horizontal="center"/>
    </xf>
    <xf numFmtId="0" fontId="10" fillId="4" borderId="2" xfId="0" applyFont="1" applyFill="1" applyBorder="1" applyAlignment="1">
      <alignment horizontal="center"/>
    </xf>
    <xf numFmtId="0" fontId="3" fillId="5" borderId="14" xfId="1" applyFill="1" applyBorder="1"/>
    <xf numFmtId="1" fontId="3" fillId="5" borderId="0" xfId="1" applyNumberFormat="1" applyFill="1" applyBorder="1"/>
    <xf numFmtId="1" fontId="3" fillId="5" borderId="6" xfId="1" applyNumberFormat="1" applyFill="1" applyBorder="1"/>
    <xf numFmtId="0" fontId="3" fillId="5" borderId="0" xfId="1" applyFill="1" applyBorder="1"/>
    <xf numFmtId="1" fontId="4" fillId="4" borderId="10" xfId="1" applyNumberFormat="1" applyFont="1" applyFill="1" applyBorder="1" applyAlignment="1">
      <alignment horizontal="center"/>
    </xf>
    <xf numFmtId="1" fontId="4" fillId="4" borderId="4" xfId="1" applyNumberFormat="1" applyFont="1" applyFill="1" applyBorder="1" applyAlignment="1">
      <alignment horizontal="center"/>
    </xf>
    <xf numFmtId="0" fontId="12" fillId="4" borderId="10" xfId="1" applyFont="1" applyFill="1" applyBorder="1" applyAlignment="1">
      <alignment horizontal="center"/>
    </xf>
    <xf numFmtId="1" fontId="5" fillId="5" borderId="0" xfId="1" applyNumberFormat="1" applyFont="1" applyFill="1" applyBorder="1"/>
    <xf numFmtId="1" fontId="5" fillId="5" borderId="6" xfId="1" applyNumberFormat="1" applyFont="1" applyFill="1" applyBorder="1"/>
    <xf numFmtId="0" fontId="3" fillId="6" borderId="0" xfId="1" applyFill="1" applyBorder="1"/>
    <xf numFmtId="1" fontId="3" fillId="6" borderId="0" xfId="1" applyNumberFormat="1" applyFill="1" applyBorder="1"/>
    <xf numFmtId="1" fontId="3" fillId="6" borderId="6" xfId="1" applyNumberFormat="1" applyFill="1" applyBorder="1"/>
    <xf numFmtId="1" fontId="5" fillId="6" borderId="0" xfId="1" applyNumberFormat="1" applyFont="1" applyFill="1" applyBorder="1"/>
    <xf numFmtId="1" fontId="5" fillId="6" borderId="6" xfId="1" applyNumberFormat="1" applyFont="1" applyFill="1" applyBorder="1"/>
    <xf numFmtId="0" fontId="19" fillId="3" borderId="0" xfId="0" applyFont="1" applyFill="1" applyAlignment="1">
      <alignment horizontal="left" vertical="center"/>
    </xf>
    <xf numFmtId="0" fontId="19" fillId="3" borderId="0" xfId="0" applyFont="1" applyFill="1" applyAlignment="1">
      <alignment horizontal="left" vertical="center" indent="25"/>
    </xf>
    <xf numFmtId="0" fontId="14" fillId="4" borderId="11" xfId="1" applyFont="1" applyFill="1" applyBorder="1" applyAlignment="1">
      <alignment horizontal="center" vertical="center"/>
    </xf>
    <xf numFmtId="0" fontId="14" fillId="4" borderId="12" xfId="1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/>
    </xf>
    <xf numFmtId="0" fontId="16" fillId="4" borderId="8" xfId="0" applyFont="1" applyFill="1" applyBorder="1" applyAlignment="1">
      <alignment horizontal="center" vertical="center"/>
    </xf>
    <xf numFmtId="0" fontId="16" fillId="4" borderId="9" xfId="0" applyFont="1" applyFill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/>
    </xf>
    <xf numFmtId="0" fontId="16" fillId="4" borderId="0" xfId="0" applyFont="1" applyFill="1" applyBorder="1" applyAlignment="1">
      <alignment horizontal="center" vertical="center"/>
    </xf>
    <xf numFmtId="0" fontId="16" fillId="4" borderId="6" xfId="0" applyFont="1" applyFill="1" applyBorder="1" applyAlignment="1">
      <alignment horizontal="center" vertical="center"/>
    </xf>
    <xf numFmtId="0" fontId="16" fillId="4" borderId="12" xfId="0" applyFont="1" applyFill="1" applyBorder="1" applyAlignment="1">
      <alignment horizontal="center" vertical="center"/>
    </xf>
    <xf numFmtId="0" fontId="16" fillId="4" borderId="10" xfId="0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17" fillId="4" borderId="11" xfId="1" applyFont="1" applyFill="1" applyBorder="1" applyAlignment="1">
      <alignment horizontal="center" vertical="center"/>
    </xf>
    <xf numFmtId="0" fontId="17" fillId="4" borderId="8" xfId="1" applyFont="1" applyFill="1" applyBorder="1" applyAlignment="1">
      <alignment horizontal="center" vertical="center"/>
    </xf>
    <xf numFmtId="0" fontId="17" fillId="4" borderId="9" xfId="1" applyFont="1" applyFill="1" applyBorder="1" applyAlignment="1">
      <alignment horizontal="center" vertical="center"/>
    </xf>
    <xf numFmtId="0" fontId="17" fillId="4" borderId="14" xfId="1" applyFont="1" applyFill="1" applyBorder="1" applyAlignment="1">
      <alignment horizontal="center" vertical="center"/>
    </xf>
    <xf numFmtId="0" fontId="17" fillId="4" borderId="0" xfId="1" applyFont="1" applyFill="1" applyBorder="1" applyAlignment="1">
      <alignment horizontal="center" vertical="center"/>
    </xf>
    <xf numFmtId="0" fontId="17" fillId="4" borderId="6" xfId="1" applyFont="1" applyFill="1" applyBorder="1" applyAlignment="1">
      <alignment horizontal="center" vertical="center"/>
    </xf>
    <xf numFmtId="0" fontId="21" fillId="3" borderId="0" xfId="0" applyFont="1" applyFill="1" applyAlignment="1">
      <alignment horizontal="left" vertical="center" wrapText="1" indent="31"/>
    </xf>
  </cellXfs>
  <cellStyles count="2">
    <cellStyle name="Normal" xfId="0" builtinId="0"/>
    <cellStyle name="Normal 2" xfId="1" xr:uid="{E4F21125-AEBF-6C42-A29E-D9F606E8B1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Statement of Cashflows'!A1"/><Relationship Id="rId2" Type="http://schemas.openxmlformats.org/officeDocument/2006/relationships/hyperlink" Target="#'Free Cash Flows'!A1"/><Relationship Id="rId1" Type="http://schemas.openxmlformats.org/officeDocument/2006/relationships/hyperlink" Target="#'Financial model'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Home!A1"/><Relationship Id="rId2" Type="http://schemas.openxmlformats.org/officeDocument/2006/relationships/hyperlink" Target="#'Statement of Cashflows'!A1"/><Relationship Id="rId1" Type="http://schemas.openxmlformats.org/officeDocument/2006/relationships/hyperlink" Target="#'Free Cash Flows'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Home!A1"/><Relationship Id="rId2" Type="http://schemas.openxmlformats.org/officeDocument/2006/relationships/hyperlink" Target="#'Statement of Cashflows'!A1"/><Relationship Id="rId1" Type="http://schemas.openxmlformats.org/officeDocument/2006/relationships/hyperlink" Target="#'Financial model'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'Financial model'!A1"/><Relationship Id="rId2" Type="http://schemas.openxmlformats.org/officeDocument/2006/relationships/hyperlink" Target="#Home!A1"/><Relationship Id="rId1" Type="http://schemas.openxmlformats.org/officeDocument/2006/relationships/hyperlink" Target="#'Free Cash Flows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609600</xdr:colOff>
      <xdr:row>0</xdr:row>
      <xdr:rowOff>165100</xdr:rowOff>
    </xdr:from>
    <xdr:to>
      <xdr:col>18</xdr:col>
      <xdr:colOff>215900</xdr:colOff>
      <xdr:row>7</xdr:row>
      <xdr:rowOff>165100</xdr:rowOff>
    </xdr:to>
    <xdr:sp macro="" textlink="">
      <xdr:nvSpPr>
        <xdr:cNvPr id="5" name="Round Diagonal Corner of Rectangl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C28AA0-EBB5-9C4C-BC69-EDC35B2F5BC0}"/>
            </a:ext>
          </a:extLst>
        </xdr:cNvPr>
        <xdr:cNvSpPr/>
      </xdr:nvSpPr>
      <xdr:spPr>
        <a:xfrm>
          <a:off x="10515600" y="165100"/>
          <a:ext cx="4559300" cy="1422400"/>
        </a:xfrm>
        <a:prstGeom prst="round2DiagRect">
          <a:avLst/>
        </a:prstGeom>
        <a:solidFill>
          <a:schemeClr val="bg2">
            <a:lumMod val="2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4000">
              <a:effectLst>
                <a:outerShdw blurRad="50800" dist="38100" dir="16200000" rotWithShape="0">
                  <a:prstClr val="black">
                    <a:alpha val="40000"/>
                  </a:prstClr>
                </a:outerShdw>
              </a:effectLst>
              <a:latin typeface="Cooper Black" panose="0208090404030B020404" pitchFamily="18" charset="77"/>
            </a:rPr>
            <a:t>Financial model</a:t>
          </a:r>
        </a:p>
      </xdr:txBody>
    </xdr:sp>
    <xdr:clientData/>
  </xdr:twoCellAnchor>
  <xdr:twoCellAnchor>
    <xdr:from>
      <xdr:col>12</xdr:col>
      <xdr:colOff>584200</xdr:colOff>
      <xdr:row>8</xdr:row>
      <xdr:rowOff>76200</xdr:rowOff>
    </xdr:from>
    <xdr:to>
      <xdr:col>18</xdr:col>
      <xdr:colOff>190500</xdr:colOff>
      <xdr:row>16</xdr:row>
      <xdr:rowOff>25400</xdr:rowOff>
    </xdr:to>
    <xdr:sp macro="" textlink="">
      <xdr:nvSpPr>
        <xdr:cNvPr id="7" name="Round Diagonal Corner of Rectangle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09ADF32-5885-3643-9B1B-C0C8F2D87F81}"/>
            </a:ext>
          </a:extLst>
        </xdr:cNvPr>
        <xdr:cNvSpPr/>
      </xdr:nvSpPr>
      <xdr:spPr>
        <a:xfrm>
          <a:off x="10490200" y="1701800"/>
          <a:ext cx="4559300" cy="1574800"/>
        </a:xfrm>
        <a:prstGeom prst="round2DiagRect">
          <a:avLst/>
        </a:prstGeom>
        <a:solidFill>
          <a:schemeClr val="bg2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4000">
              <a:effectLst>
                <a:outerShdw blurRad="50800" dist="38100" dir="16200000" rotWithShape="0">
                  <a:prstClr val="black">
                    <a:alpha val="40000"/>
                  </a:prstClr>
                </a:outerShdw>
              </a:effectLst>
              <a:latin typeface="Cooper Black" panose="0208090404030B020404" pitchFamily="18" charset="77"/>
            </a:rPr>
            <a:t>Free Cash Flows</a:t>
          </a:r>
        </a:p>
      </xdr:txBody>
    </xdr:sp>
    <xdr:clientData/>
  </xdr:twoCellAnchor>
  <xdr:twoCellAnchor>
    <xdr:from>
      <xdr:col>12</xdr:col>
      <xdr:colOff>558800</xdr:colOff>
      <xdr:row>16</xdr:row>
      <xdr:rowOff>165100</xdr:rowOff>
    </xdr:from>
    <xdr:to>
      <xdr:col>18</xdr:col>
      <xdr:colOff>165100</xdr:colOff>
      <xdr:row>24</xdr:row>
      <xdr:rowOff>75442</xdr:rowOff>
    </xdr:to>
    <xdr:sp macro="" textlink="">
      <xdr:nvSpPr>
        <xdr:cNvPr id="8" name="Round Diagonal Corner of Rectangle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E90313A-1759-844F-B0A6-0AEC13418051}"/>
            </a:ext>
          </a:extLst>
        </xdr:cNvPr>
        <xdr:cNvSpPr/>
      </xdr:nvSpPr>
      <xdr:spPr>
        <a:xfrm>
          <a:off x="10464800" y="3416300"/>
          <a:ext cx="4559300" cy="1535942"/>
        </a:xfrm>
        <a:prstGeom prst="round2DiagRect">
          <a:avLst/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4000">
              <a:effectLst>
                <a:outerShdw blurRad="50800" dist="38100" dir="16200000" rotWithShape="0">
                  <a:prstClr val="black">
                    <a:alpha val="40000"/>
                  </a:prstClr>
                </a:outerShdw>
              </a:effectLst>
              <a:latin typeface="Cooper Black" panose="0208090404030B020404" pitchFamily="18" charset="77"/>
            </a:rPr>
            <a:t>Statement of Cashflows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747059</xdr:colOff>
      <xdr:row>0</xdr:row>
      <xdr:rowOff>74706</xdr:rowOff>
    </xdr:from>
    <xdr:to>
      <xdr:col>14</xdr:col>
      <xdr:colOff>1078004</xdr:colOff>
      <xdr:row>7</xdr:row>
      <xdr:rowOff>134471</xdr:rowOff>
    </xdr:to>
    <xdr:sp macro="" textlink="">
      <xdr:nvSpPr>
        <xdr:cNvPr id="2" name="Round Diagonal Corner of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BDE28E-E660-C249-85AB-A995D8122506}"/>
            </a:ext>
          </a:extLst>
        </xdr:cNvPr>
        <xdr:cNvSpPr/>
      </xdr:nvSpPr>
      <xdr:spPr>
        <a:xfrm>
          <a:off x="10772588" y="74706"/>
          <a:ext cx="4753534" cy="1524000"/>
        </a:xfrm>
        <a:prstGeom prst="round2DiagRect">
          <a:avLst/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4000">
              <a:effectLst>
                <a:outerShdw blurRad="50800" dist="38100" dir="16200000" rotWithShape="0">
                  <a:prstClr val="black">
                    <a:alpha val="40000"/>
                  </a:prstClr>
                </a:outerShdw>
              </a:effectLst>
              <a:latin typeface="Cooper Black" panose="0208090404030B020404" pitchFamily="18" charset="77"/>
            </a:rPr>
            <a:t>Free Cash Flows</a:t>
          </a:r>
        </a:p>
      </xdr:txBody>
    </xdr:sp>
    <xdr:clientData/>
  </xdr:twoCellAnchor>
  <xdr:twoCellAnchor>
    <xdr:from>
      <xdr:col>6</xdr:col>
      <xdr:colOff>104588</xdr:colOff>
      <xdr:row>0</xdr:row>
      <xdr:rowOff>59766</xdr:rowOff>
    </xdr:from>
    <xdr:to>
      <xdr:col>10</xdr:col>
      <xdr:colOff>612587</xdr:colOff>
      <xdr:row>7</xdr:row>
      <xdr:rowOff>149411</xdr:rowOff>
    </xdr:to>
    <xdr:sp macro="" textlink="">
      <xdr:nvSpPr>
        <xdr:cNvPr id="3" name="Round Diagonal Corner of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1F649AB-2FC6-F14C-90E6-144D493C115D}"/>
            </a:ext>
          </a:extLst>
        </xdr:cNvPr>
        <xdr:cNvSpPr/>
      </xdr:nvSpPr>
      <xdr:spPr>
        <a:xfrm>
          <a:off x="5707529" y="59766"/>
          <a:ext cx="4930587" cy="1553880"/>
        </a:xfrm>
        <a:prstGeom prst="round2DiagRect">
          <a:avLst/>
        </a:prstGeom>
        <a:solidFill>
          <a:schemeClr val="bg2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4000">
              <a:effectLst>
                <a:outerShdw blurRad="50800" dist="38100" dir="16200000" rotWithShape="0">
                  <a:prstClr val="black">
                    <a:alpha val="40000"/>
                  </a:prstClr>
                </a:outerShdw>
              </a:effectLst>
              <a:latin typeface="Cooper Black" panose="0208090404030B020404" pitchFamily="18" charset="77"/>
            </a:rPr>
            <a:t>Statement of Cashflows</a:t>
          </a:r>
        </a:p>
      </xdr:txBody>
    </xdr:sp>
    <xdr:clientData/>
  </xdr:twoCellAnchor>
  <xdr:twoCellAnchor>
    <xdr:from>
      <xdr:col>3</xdr:col>
      <xdr:colOff>17928</xdr:colOff>
      <xdr:row>0</xdr:row>
      <xdr:rowOff>77693</xdr:rowOff>
    </xdr:from>
    <xdr:to>
      <xdr:col>5</xdr:col>
      <xdr:colOff>1075765</xdr:colOff>
      <xdr:row>7</xdr:row>
      <xdr:rowOff>149411</xdr:rowOff>
    </xdr:to>
    <xdr:sp macro="" textlink="">
      <xdr:nvSpPr>
        <xdr:cNvPr id="4" name="Round Diagonal Corner of 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4F0E843-AC34-C942-A007-7E37DDE2DF14}"/>
            </a:ext>
          </a:extLst>
        </xdr:cNvPr>
        <xdr:cNvSpPr/>
      </xdr:nvSpPr>
      <xdr:spPr>
        <a:xfrm>
          <a:off x="839693" y="77693"/>
          <a:ext cx="4733366" cy="1535953"/>
        </a:xfrm>
        <a:prstGeom prst="round2DiagRect">
          <a:avLst/>
        </a:prstGeom>
        <a:solidFill>
          <a:schemeClr val="bg2">
            <a:lumMod val="2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7200">
              <a:effectLst>
                <a:outerShdw blurRad="50800" dist="38100" dir="16200000" rotWithShape="0">
                  <a:prstClr val="black">
                    <a:alpha val="40000"/>
                  </a:prstClr>
                </a:outerShdw>
              </a:effectLst>
              <a:latin typeface="Cooper Black" panose="0208090404030B020404" pitchFamily="18" charset="77"/>
            </a:rPr>
            <a:t>Home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393700</xdr:colOff>
      <xdr:row>0</xdr:row>
      <xdr:rowOff>114300</xdr:rowOff>
    </xdr:from>
    <xdr:to>
      <xdr:col>8</xdr:col>
      <xdr:colOff>0</xdr:colOff>
      <xdr:row>7</xdr:row>
      <xdr:rowOff>96954</xdr:rowOff>
    </xdr:to>
    <xdr:sp macro="" textlink="">
      <xdr:nvSpPr>
        <xdr:cNvPr id="2" name="Round Diagonal Corner of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378E52-68EA-2947-9BA5-C39273AB111B}"/>
            </a:ext>
          </a:extLst>
        </xdr:cNvPr>
        <xdr:cNvSpPr/>
      </xdr:nvSpPr>
      <xdr:spPr>
        <a:xfrm>
          <a:off x="5308600" y="114300"/>
          <a:ext cx="4559300" cy="1405054"/>
        </a:xfrm>
        <a:prstGeom prst="round2DiagRect">
          <a:avLst/>
        </a:prstGeom>
        <a:solidFill>
          <a:schemeClr val="bg2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4000">
              <a:effectLst>
                <a:outerShdw blurRad="50800" dist="38100" dir="16200000" rotWithShape="0">
                  <a:prstClr val="black">
                    <a:alpha val="40000"/>
                  </a:prstClr>
                </a:outerShdw>
              </a:effectLst>
              <a:latin typeface="Cooper Black" panose="0208090404030B020404" pitchFamily="18" charset="77"/>
            </a:rPr>
            <a:t>Financial model</a:t>
          </a:r>
        </a:p>
      </xdr:txBody>
    </xdr:sp>
    <xdr:clientData/>
  </xdr:twoCellAnchor>
  <xdr:twoCellAnchor>
    <xdr:from>
      <xdr:col>8</xdr:col>
      <xdr:colOff>152400</xdr:colOff>
      <xdr:row>0</xdr:row>
      <xdr:rowOff>101600</xdr:rowOff>
    </xdr:from>
    <xdr:to>
      <xdr:col>12</xdr:col>
      <xdr:colOff>1536700</xdr:colOff>
      <xdr:row>7</xdr:row>
      <xdr:rowOff>118946</xdr:rowOff>
    </xdr:to>
    <xdr:sp macro="" textlink="">
      <xdr:nvSpPr>
        <xdr:cNvPr id="3" name="Round Diagonal Corner of 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8E22E08-7FCC-8848-A53F-108290B51612}"/>
            </a:ext>
          </a:extLst>
        </xdr:cNvPr>
        <xdr:cNvSpPr/>
      </xdr:nvSpPr>
      <xdr:spPr>
        <a:xfrm>
          <a:off x="10020300" y="101600"/>
          <a:ext cx="4686300" cy="1439746"/>
        </a:xfrm>
        <a:prstGeom prst="round2DiagRect">
          <a:avLst/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4000">
              <a:effectLst>
                <a:outerShdw blurRad="50800" dist="38100" dir="16200000" rotWithShape="0">
                  <a:prstClr val="black">
                    <a:alpha val="40000"/>
                  </a:prstClr>
                </a:outerShdw>
              </a:effectLst>
              <a:latin typeface="Cooper Black" panose="0208090404030B020404" pitchFamily="18" charset="77"/>
            </a:rPr>
            <a:t>Statement of Cashflows</a:t>
          </a:r>
        </a:p>
      </xdr:txBody>
    </xdr:sp>
    <xdr:clientData/>
  </xdr:twoCellAnchor>
  <xdr:twoCellAnchor>
    <xdr:from>
      <xdr:col>1</xdr:col>
      <xdr:colOff>25400</xdr:colOff>
      <xdr:row>0</xdr:row>
      <xdr:rowOff>127000</xdr:rowOff>
    </xdr:from>
    <xdr:to>
      <xdr:col>2</xdr:col>
      <xdr:colOff>254000</xdr:colOff>
      <xdr:row>7</xdr:row>
      <xdr:rowOff>127000</xdr:rowOff>
    </xdr:to>
    <xdr:sp macro="" textlink="">
      <xdr:nvSpPr>
        <xdr:cNvPr id="4" name="Round Diagonal Corner of 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8C4DDF5-7B77-684D-B63B-E0C7B200CA4B}"/>
            </a:ext>
          </a:extLst>
        </xdr:cNvPr>
        <xdr:cNvSpPr/>
      </xdr:nvSpPr>
      <xdr:spPr>
        <a:xfrm>
          <a:off x="850900" y="127000"/>
          <a:ext cx="4318000" cy="1422400"/>
        </a:xfrm>
        <a:prstGeom prst="round2DiagRect">
          <a:avLst/>
        </a:prstGeom>
        <a:solidFill>
          <a:schemeClr val="bg2">
            <a:lumMod val="2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4000">
              <a:effectLst>
                <a:outerShdw blurRad="50800" dist="38100" dir="16200000" rotWithShape="0">
                  <a:prstClr val="black">
                    <a:alpha val="40000"/>
                  </a:prstClr>
                </a:outerShdw>
              </a:effectLst>
              <a:latin typeface="Cooper Black" panose="0208090404030B020404" pitchFamily="18" charset="77"/>
            </a:rPr>
            <a:t>Home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50800</xdr:colOff>
      <xdr:row>0</xdr:row>
      <xdr:rowOff>38100</xdr:rowOff>
    </xdr:from>
    <xdr:to>
      <xdr:col>11</xdr:col>
      <xdr:colOff>901700</xdr:colOff>
      <xdr:row>7</xdr:row>
      <xdr:rowOff>114300</xdr:rowOff>
    </xdr:to>
    <xdr:sp macro="" textlink="">
      <xdr:nvSpPr>
        <xdr:cNvPr id="3" name="Round Diagonal Corner of 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F4BA6CA-77CF-D845-A363-329C1CFB7FA0}"/>
            </a:ext>
          </a:extLst>
        </xdr:cNvPr>
        <xdr:cNvSpPr/>
      </xdr:nvSpPr>
      <xdr:spPr>
        <a:xfrm>
          <a:off x="7924800" y="38100"/>
          <a:ext cx="4559300" cy="1498600"/>
        </a:xfrm>
        <a:prstGeom prst="round2DiagRect">
          <a:avLst/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4000">
              <a:effectLst>
                <a:outerShdw blurRad="50800" dist="38100" dir="16200000" rotWithShape="0">
                  <a:prstClr val="black">
                    <a:alpha val="40000"/>
                  </a:prstClr>
                </a:outerShdw>
              </a:effectLst>
              <a:latin typeface="Cooper Black" panose="0208090404030B020404" pitchFamily="18" charset="77"/>
            </a:rPr>
            <a:t>Free Cash Flows</a:t>
          </a:r>
        </a:p>
      </xdr:txBody>
    </xdr:sp>
    <xdr:clientData/>
  </xdr:twoCellAnchor>
  <xdr:twoCellAnchor>
    <xdr:from>
      <xdr:col>1</xdr:col>
      <xdr:colOff>0</xdr:colOff>
      <xdr:row>0</xdr:row>
      <xdr:rowOff>101600</xdr:rowOff>
    </xdr:from>
    <xdr:to>
      <xdr:col>1</xdr:col>
      <xdr:colOff>3213100</xdr:colOff>
      <xdr:row>7</xdr:row>
      <xdr:rowOff>152400</xdr:rowOff>
    </xdr:to>
    <xdr:sp macro="" textlink="">
      <xdr:nvSpPr>
        <xdr:cNvPr id="5" name="Round Diagonal Corner of Rectangle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272EAAF-944F-9645-9318-03720E4BA25C}"/>
            </a:ext>
          </a:extLst>
        </xdr:cNvPr>
        <xdr:cNvSpPr/>
      </xdr:nvSpPr>
      <xdr:spPr>
        <a:xfrm>
          <a:off x="0" y="101600"/>
          <a:ext cx="3213100" cy="1473200"/>
        </a:xfrm>
        <a:prstGeom prst="round2DiagRect">
          <a:avLst/>
        </a:prstGeom>
        <a:solidFill>
          <a:schemeClr val="bg2">
            <a:lumMod val="2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4000">
              <a:effectLst>
                <a:outerShdw blurRad="50800" dist="38100" dir="16200000" rotWithShape="0">
                  <a:prstClr val="black">
                    <a:alpha val="40000"/>
                  </a:prstClr>
                </a:outerShdw>
              </a:effectLst>
              <a:latin typeface="Cooper Black" panose="0208090404030B020404" pitchFamily="18" charset="77"/>
            </a:rPr>
            <a:t>Home</a:t>
          </a:r>
        </a:p>
      </xdr:txBody>
    </xdr:sp>
    <xdr:clientData/>
  </xdr:twoCellAnchor>
  <xdr:twoCellAnchor>
    <xdr:from>
      <xdr:col>2</xdr:col>
      <xdr:colOff>38100</xdr:colOff>
      <xdr:row>0</xdr:row>
      <xdr:rowOff>76200</xdr:rowOff>
    </xdr:from>
    <xdr:to>
      <xdr:col>6</xdr:col>
      <xdr:colOff>889000</xdr:colOff>
      <xdr:row>7</xdr:row>
      <xdr:rowOff>114300</xdr:rowOff>
    </xdr:to>
    <xdr:sp macro="" textlink="">
      <xdr:nvSpPr>
        <xdr:cNvPr id="7" name="Round Diagonal Corner of Rectangle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3E58978-9586-7143-8FF0-1CDBB390784B}"/>
            </a:ext>
          </a:extLst>
        </xdr:cNvPr>
        <xdr:cNvSpPr/>
      </xdr:nvSpPr>
      <xdr:spPr>
        <a:xfrm>
          <a:off x="3276600" y="76200"/>
          <a:ext cx="4559300" cy="1460500"/>
        </a:xfrm>
        <a:prstGeom prst="round2DiagRect">
          <a:avLst/>
        </a:prstGeom>
        <a:solidFill>
          <a:schemeClr val="bg2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4000">
              <a:effectLst>
                <a:outerShdw blurRad="50800" dist="38100" dir="16200000" rotWithShape="0">
                  <a:prstClr val="black">
                    <a:alpha val="40000"/>
                  </a:prstClr>
                </a:outerShdw>
              </a:effectLst>
              <a:latin typeface="Cooper Black" panose="0208090404030B020404" pitchFamily="18" charset="77"/>
            </a:rPr>
            <a:t>Financial model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01E9F-207B-254A-9B6D-7138F01520AB}">
  <dimension ref="A1:AM78"/>
  <sheetViews>
    <sheetView showGridLines="0" showRowColHeaders="0" tabSelected="1" workbookViewId="0">
      <selection activeCell="K29" sqref="K29"/>
    </sheetView>
  </sheetViews>
  <sheetFormatPr baseColWidth="10" defaultColWidth="0" defaultRowHeight="16" zeroHeight="1"/>
  <cols>
    <col min="1" max="22" width="10.83203125" customWidth="1"/>
    <col min="23" max="39" width="0" hidden="1" customWidth="1"/>
    <col min="40" max="16384" width="10.83203125" hidden="1"/>
  </cols>
  <sheetData>
    <row r="1" spans="1:39" ht="16" customHeight="1">
      <c r="A1" s="88" t="s">
        <v>73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</row>
    <row r="2" spans="1:39" ht="16" customHeight="1">
      <c r="A2" s="88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</row>
    <row r="3" spans="1:39" ht="16" customHeight="1">
      <c r="A3" s="88"/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</row>
    <row r="4" spans="1:39" ht="16" customHeight="1">
      <c r="A4" s="88"/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</row>
    <row r="5" spans="1:39" ht="16" customHeight="1">
      <c r="A5" s="88"/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</row>
    <row r="6" spans="1:39" ht="16" customHeight="1">
      <c r="A6" s="88"/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</row>
    <row r="7" spans="1:39" ht="16" customHeight="1">
      <c r="A7" s="88"/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</row>
    <row r="8" spans="1:39" ht="16" customHeight="1">
      <c r="A8" s="88"/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</row>
    <row r="9" spans="1:39" ht="16" customHeight="1">
      <c r="A9" s="89" t="s">
        <v>69</v>
      </c>
      <c r="B9" s="89"/>
      <c r="C9" s="89"/>
      <c r="D9" s="89"/>
      <c r="E9" s="89"/>
      <c r="F9" s="89"/>
      <c r="G9" s="89"/>
      <c r="H9" s="89"/>
      <c r="I9" s="89"/>
      <c r="J9" s="89"/>
      <c r="K9" s="89"/>
      <c r="L9" s="89"/>
      <c r="M9" s="89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</row>
    <row r="10" spans="1:39">
      <c r="A10" s="89"/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</row>
    <row r="11" spans="1:39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</row>
    <row r="12" spans="1:39">
      <c r="A12" s="89"/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>
      <c r="A13" s="89"/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ht="16" customHeight="1">
      <c r="A14" s="107" t="s">
        <v>75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7"/>
      <c r="M14" s="107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</row>
    <row r="15" spans="1:39" ht="16" customHeight="1">
      <c r="A15" s="107"/>
      <c r="B15" s="107"/>
      <c r="C15" s="107"/>
      <c r="D15" s="107"/>
      <c r="E15" s="107"/>
      <c r="F15" s="107"/>
      <c r="G15" s="107"/>
      <c r="H15" s="107"/>
      <c r="I15" s="107"/>
      <c r="J15" s="107"/>
      <c r="K15" s="107"/>
      <c r="L15" s="107"/>
      <c r="M15" s="107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</row>
    <row r="16" spans="1:39" ht="16" customHeight="1">
      <c r="A16" s="107"/>
      <c r="B16" s="107"/>
      <c r="C16" s="107"/>
      <c r="D16" s="107"/>
      <c r="E16" s="107"/>
      <c r="F16" s="107"/>
      <c r="G16" s="107"/>
      <c r="H16" s="107"/>
      <c r="I16" s="107"/>
      <c r="J16" s="107"/>
      <c r="K16" s="107"/>
      <c r="L16" s="107"/>
      <c r="M16" s="107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</row>
    <row r="17" spans="1:39" ht="16" customHeight="1">
      <c r="A17" s="107"/>
      <c r="B17" s="107"/>
      <c r="C17" s="107"/>
      <c r="D17" s="107"/>
      <c r="E17" s="107"/>
      <c r="F17" s="107"/>
      <c r="G17" s="107"/>
      <c r="H17" s="107"/>
      <c r="I17" s="107"/>
      <c r="J17" s="107"/>
      <c r="K17" s="107"/>
      <c r="L17" s="107"/>
      <c r="M17" s="107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</row>
    <row r="18" spans="1:39" ht="16" customHeight="1">
      <c r="A18" s="107"/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</row>
    <row r="19" spans="1:39" ht="16" customHeight="1">
      <c r="A19" s="107"/>
      <c r="B19" s="107"/>
      <c r="C19" s="107"/>
      <c r="D19" s="107"/>
      <c r="E19" s="107"/>
      <c r="F19" s="107"/>
      <c r="G19" s="107"/>
      <c r="H19" s="107"/>
      <c r="I19" s="107"/>
      <c r="J19" s="107"/>
      <c r="K19" s="107"/>
      <c r="L19" s="107"/>
      <c r="M19" s="107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</row>
    <row r="20" spans="1:39" ht="16" customHeight="1">
      <c r="A20" s="107"/>
      <c r="B20" s="107"/>
      <c r="C20" s="107"/>
      <c r="D20" s="107"/>
      <c r="E20" s="107"/>
      <c r="F20" s="107"/>
      <c r="G20" s="107"/>
      <c r="H20" s="107"/>
      <c r="I20" s="107"/>
      <c r="J20" s="107"/>
      <c r="K20" s="107"/>
      <c r="L20" s="107"/>
      <c r="M20" s="107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</row>
    <row r="21" spans="1:39" ht="16" customHeight="1">
      <c r="A21" s="107"/>
      <c r="B21" s="107"/>
      <c r="C21" s="107"/>
      <c r="D21" s="107"/>
      <c r="E21" s="107"/>
      <c r="F21" s="107"/>
      <c r="G21" s="107"/>
      <c r="H21" s="107"/>
      <c r="I21" s="107"/>
      <c r="J21" s="107"/>
      <c r="K21" s="107"/>
      <c r="L21" s="107"/>
      <c r="M21" s="107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</row>
    <row r="22" spans="1:39" ht="16" customHeight="1">
      <c r="A22" s="107"/>
      <c r="B22" s="107"/>
      <c r="C22" s="107"/>
      <c r="D22" s="107"/>
      <c r="E22" s="107"/>
      <c r="F22" s="107"/>
      <c r="G22" s="107"/>
      <c r="H22" s="107"/>
      <c r="I22" s="107"/>
      <c r="J22" s="107"/>
      <c r="K22" s="107"/>
      <c r="L22" s="107"/>
      <c r="M22" s="107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</row>
    <row r="23" spans="1:39" ht="16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</row>
    <row r="24" spans="1:39" ht="16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</row>
    <row r="25" spans="1:39" ht="16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</row>
    <row r="26" spans="1:39" ht="16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</row>
    <row r="27" spans="1:39" ht="16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</row>
    <row r="28" spans="1:39" ht="16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</row>
    <row r="29" spans="1:39" ht="16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</row>
    <row r="30" spans="1:39" ht="16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</row>
    <row r="31" spans="1:39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</row>
    <row r="32" spans="1:39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</row>
    <row r="33" spans="1:39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</row>
    <row r="34" spans="1:39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</row>
    <row r="35" spans="1:39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</row>
    <row r="36" spans="1:39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</row>
    <row r="37" spans="1:39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</row>
    <row r="38" spans="1:39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</row>
    <row r="39" spans="1: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</row>
    <row r="40" spans="1:39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</row>
    <row r="41" spans="1:39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</row>
    <row r="42" spans="1:39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</row>
    <row r="43" spans="1:39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</row>
    <row r="44" spans="1:39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</row>
    <row r="45" spans="1:39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</row>
    <row r="46" spans="1:39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</row>
    <row r="47" spans="1:39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</row>
    <row r="48" spans="1:39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</row>
    <row r="49" spans="1:3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</row>
    <row r="50" spans="1:39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</row>
    <row r="51" spans="1:39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</row>
    <row r="52" spans="1:39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</row>
    <row r="53" spans="1:39" hidden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</row>
    <row r="54" spans="1:39" hidden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</row>
    <row r="55" spans="1:39" hidden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</row>
    <row r="56" spans="1:39" hidden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</row>
    <row r="57" spans="1:39" hidden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</row>
    <row r="58" spans="1:39" hidden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</row>
    <row r="59" spans="1:39" hidden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</row>
    <row r="60" spans="1:39" hidden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</row>
    <row r="61" spans="1:39" hidden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</row>
    <row r="62" spans="1:39" hidden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</row>
    <row r="63" spans="1:39" hidden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</row>
    <row r="64" spans="1:39" hidden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</row>
    <row r="65" spans="1:39" hidden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</row>
    <row r="66" spans="1:39" hidden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</row>
    <row r="67" spans="1:39" hidden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</row>
    <row r="68" spans="1:39" hidden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</row>
    <row r="69" spans="1:39" hidden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</row>
    <row r="70" spans="1:39" hidden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</row>
    <row r="71" spans="1:39" hidden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</row>
    <row r="72" spans="1:39" hidden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</row>
    <row r="73" spans="1:39" hidden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</row>
    <row r="74" spans="1:39" hidden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</row>
    <row r="75" spans="1:39" hidden="1"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</row>
    <row r="76" spans="1:39" hidden="1"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</row>
    <row r="77" spans="1:39" hidden="1"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</row>
    <row r="78" spans="1:39" hidden="1"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</row>
  </sheetData>
  <mergeCells count="3">
    <mergeCell ref="A1:M8"/>
    <mergeCell ref="A9:M13"/>
    <mergeCell ref="A14:M2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BACB4-E9C5-7545-BED5-C78BD7A14CF4}">
  <dimension ref="A1:AV72"/>
  <sheetViews>
    <sheetView showGridLines="0" showRowColHeaders="0" topLeftCell="C1" zoomScale="90" zoomScaleNormal="90" workbookViewId="0">
      <selection activeCell="E21" sqref="E21"/>
    </sheetView>
  </sheetViews>
  <sheetFormatPr baseColWidth="10" defaultColWidth="0" defaultRowHeight="16" zeroHeight="1"/>
  <cols>
    <col min="1" max="1" width="41.5" hidden="1" customWidth="1"/>
    <col min="2" max="2" width="0" hidden="1" customWidth="1"/>
    <col min="3" max="3" width="10.83203125" customWidth="1"/>
    <col min="4" max="4" width="33.6640625" bestFit="1" customWidth="1"/>
    <col min="5" max="15" width="14.5" customWidth="1"/>
    <col min="16" max="21" width="10.83203125" customWidth="1"/>
    <col min="22" max="48" width="0" hidden="1" customWidth="1"/>
    <col min="49" max="16384" width="10.83203125" hidden="1"/>
  </cols>
  <sheetData>
    <row r="1" spans="1:48"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</row>
    <row r="2" spans="1:48"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</row>
    <row r="3" spans="1:48"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</row>
    <row r="4" spans="1:48"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</row>
    <row r="5" spans="1:48"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</row>
    <row r="6" spans="1:48"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</row>
    <row r="7" spans="1:48"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</row>
    <row r="8" spans="1:48" ht="17" thickBot="1"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</row>
    <row r="9" spans="1:48">
      <c r="C9" s="10"/>
      <c r="D9" s="92" t="s">
        <v>70</v>
      </c>
      <c r="E9" s="93"/>
      <c r="F9" s="93"/>
      <c r="G9" s="93"/>
      <c r="H9" s="93"/>
      <c r="I9" s="93"/>
      <c r="J9" s="93"/>
      <c r="K9" s="93"/>
      <c r="L9" s="93"/>
      <c r="M9" s="93"/>
      <c r="N9" s="93"/>
      <c r="O9" s="94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</row>
    <row r="10" spans="1:48">
      <c r="C10" s="10"/>
      <c r="D10" s="95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7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</row>
    <row r="11" spans="1:48" ht="17" thickBot="1">
      <c r="C11" s="10"/>
      <c r="D11" s="98"/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10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</row>
    <row r="12" spans="1:48" ht="17" thickBot="1">
      <c r="A12" s="1" t="s">
        <v>0</v>
      </c>
      <c r="B12" s="2">
        <v>0.1</v>
      </c>
      <c r="C12" s="10"/>
      <c r="D12" s="90" t="s">
        <v>15</v>
      </c>
      <c r="E12" s="14">
        <v>2024</v>
      </c>
      <c r="F12" s="14">
        <v>2025</v>
      </c>
      <c r="G12" s="14">
        <v>2026</v>
      </c>
      <c r="H12" s="14">
        <v>2027</v>
      </c>
      <c r="I12" s="14">
        <v>2028</v>
      </c>
      <c r="J12" s="14">
        <v>2029</v>
      </c>
      <c r="K12" s="14">
        <v>2030</v>
      </c>
      <c r="L12" s="14">
        <v>2031</v>
      </c>
      <c r="M12" s="14">
        <v>2032</v>
      </c>
      <c r="N12" s="14">
        <v>2033</v>
      </c>
      <c r="O12" s="15">
        <v>2034</v>
      </c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</row>
    <row r="13" spans="1:48" ht="17" thickBot="1">
      <c r="A13" s="3" t="s">
        <v>1</v>
      </c>
      <c r="B13" s="4">
        <v>0.15</v>
      </c>
      <c r="C13" s="10"/>
      <c r="D13" s="91"/>
      <c r="E13" s="16" t="s">
        <v>41</v>
      </c>
      <c r="F13" s="16" t="s">
        <v>41</v>
      </c>
      <c r="G13" s="16" t="s">
        <v>41</v>
      </c>
      <c r="H13" s="16" t="s">
        <v>41</v>
      </c>
      <c r="I13" s="16" t="s">
        <v>41</v>
      </c>
      <c r="J13" s="16" t="s">
        <v>41</v>
      </c>
      <c r="K13" s="16" t="s">
        <v>41</v>
      </c>
      <c r="L13" s="16" t="s">
        <v>41</v>
      </c>
      <c r="M13" s="16" t="s">
        <v>41</v>
      </c>
      <c r="N13" s="16" t="s">
        <v>41</v>
      </c>
      <c r="O13" s="17" t="s">
        <v>41</v>
      </c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</row>
    <row r="14" spans="1:48" ht="17" thickBot="1">
      <c r="A14" s="3" t="s">
        <v>2</v>
      </c>
      <c r="B14" s="4">
        <v>0.08</v>
      </c>
      <c r="C14" s="10"/>
      <c r="D14" s="21" t="s">
        <v>16</v>
      </c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2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</row>
    <row r="15" spans="1:48" ht="17" thickBot="1">
      <c r="A15" s="3" t="s">
        <v>3</v>
      </c>
      <c r="B15" s="4">
        <v>0.4</v>
      </c>
      <c r="C15" s="10"/>
      <c r="D15" s="31" t="s">
        <v>17</v>
      </c>
      <c r="E15" s="32">
        <v>427946</v>
      </c>
      <c r="F15" s="32">
        <f>E15*(1+$B$12)</f>
        <v>470740.60000000003</v>
      </c>
      <c r="G15" s="32">
        <f t="shared" ref="G15:O15" si="0">F15*(1+$B$12)</f>
        <v>517814.66000000009</v>
      </c>
      <c r="H15" s="32">
        <f t="shared" si="0"/>
        <v>569596.12600000016</v>
      </c>
      <c r="I15" s="32">
        <f t="shared" si="0"/>
        <v>626555.73860000027</v>
      </c>
      <c r="J15" s="32">
        <f t="shared" si="0"/>
        <v>689211.31246000039</v>
      </c>
      <c r="K15" s="32">
        <f t="shared" si="0"/>
        <v>758132.44370600046</v>
      </c>
      <c r="L15" s="32">
        <f t="shared" si="0"/>
        <v>833945.68807660055</v>
      </c>
      <c r="M15" s="32">
        <f t="shared" si="0"/>
        <v>917340.25688426069</v>
      </c>
      <c r="N15" s="32">
        <f t="shared" si="0"/>
        <v>1009074.2825726868</v>
      </c>
      <c r="O15" s="33">
        <f t="shared" si="0"/>
        <v>1109981.7108299555</v>
      </c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</row>
    <row r="16" spans="1:48" ht="17" thickBot="1">
      <c r="A16" s="3" t="s">
        <v>4</v>
      </c>
      <c r="B16" s="4">
        <v>0.12</v>
      </c>
      <c r="C16" s="10"/>
      <c r="D16" s="18" t="s">
        <v>18</v>
      </c>
      <c r="E16" s="19">
        <v>-405841</v>
      </c>
      <c r="F16" s="19">
        <f>-F15*$B$17</f>
        <v>-235370.30000000002</v>
      </c>
      <c r="G16" s="19">
        <f t="shared" ref="G16:O16" si="1">-G15*$B$17</f>
        <v>-258907.33000000005</v>
      </c>
      <c r="H16" s="19">
        <f t="shared" si="1"/>
        <v>-284798.06300000008</v>
      </c>
      <c r="I16" s="19">
        <f t="shared" si="1"/>
        <v>-313277.86930000014</v>
      </c>
      <c r="J16" s="19">
        <f t="shared" si="1"/>
        <v>-344605.6562300002</v>
      </c>
      <c r="K16" s="19">
        <f t="shared" si="1"/>
        <v>-379066.22185300023</v>
      </c>
      <c r="L16" s="19">
        <f t="shared" si="1"/>
        <v>-416972.84403830027</v>
      </c>
      <c r="M16" s="19">
        <f t="shared" si="1"/>
        <v>-458670.12844213034</v>
      </c>
      <c r="N16" s="19">
        <f t="shared" si="1"/>
        <v>-504537.14128634339</v>
      </c>
      <c r="O16" s="20">
        <f t="shared" si="1"/>
        <v>-554990.85541497776</v>
      </c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</row>
    <row r="17" spans="1:48" ht="17" thickBot="1">
      <c r="A17" s="3" t="s">
        <v>5</v>
      </c>
      <c r="B17" s="4">
        <v>0.5</v>
      </c>
      <c r="C17" s="10"/>
      <c r="D17" s="34" t="s">
        <v>40</v>
      </c>
      <c r="E17" s="35" t="s">
        <v>74</v>
      </c>
      <c r="F17" s="35">
        <f>$B$21*-F15</f>
        <v>-94148.12000000001</v>
      </c>
      <c r="G17" s="35">
        <f t="shared" ref="G17:O17" si="2">$B$21*-G15</f>
        <v>-103562.93200000003</v>
      </c>
      <c r="H17" s="35">
        <f t="shared" si="2"/>
        <v>-113919.22520000004</v>
      </c>
      <c r="I17" s="35">
        <f t="shared" si="2"/>
        <v>-125311.14772000007</v>
      </c>
      <c r="J17" s="35">
        <f t="shared" si="2"/>
        <v>-137842.2624920001</v>
      </c>
      <c r="K17" s="35">
        <f t="shared" si="2"/>
        <v>-151626.4887412001</v>
      </c>
      <c r="L17" s="35">
        <f t="shared" si="2"/>
        <v>-166789.13761532013</v>
      </c>
      <c r="M17" s="35">
        <f t="shared" si="2"/>
        <v>-183468.05137685215</v>
      </c>
      <c r="N17" s="35">
        <f t="shared" si="2"/>
        <v>-201814.85651453736</v>
      </c>
      <c r="O17" s="36">
        <f t="shared" si="2"/>
        <v>-221996.34216599111</v>
      </c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</row>
    <row r="18" spans="1:48" ht="17" thickBot="1">
      <c r="A18" s="3" t="s">
        <v>6</v>
      </c>
      <c r="B18" s="4">
        <v>0.1</v>
      </c>
      <c r="C18" s="10"/>
      <c r="D18" s="18" t="s">
        <v>19</v>
      </c>
      <c r="E18" s="19">
        <v>-6371</v>
      </c>
      <c r="F18" s="19">
        <f ca="1">-$B$20*(E37+F37)/2</f>
        <v>-2696.0325194272486</v>
      </c>
      <c r="G18" s="19">
        <f t="shared" ref="G18:O18" ca="1" si="3">-$B$20*(F37+G37)/2</f>
        <v>-6021.8663899896483</v>
      </c>
      <c r="H18" s="19">
        <f t="shared" ca="1" si="3"/>
        <v>-9216.6966883085206</v>
      </c>
      <c r="I18" s="19">
        <f t="shared" ca="1" si="3"/>
        <v>-12737.984970342004</v>
      </c>
      <c r="J18" s="19">
        <f t="shared" ca="1" si="3"/>
        <v>-16612.225949953303</v>
      </c>
      <c r="K18" s="19">
        <f t="shared" ca="1" si="3"/>
        <v>-20867.738063552315</v>
      </c>
      <c r="L18" s="19">
        <f t="shared" ca="1" si="3"/>
        <v>-25534.7543059485</v>
      </c>
      <c r="M18" s="19">
        <f t="shared" ca="1" si="3"/>
        <v>-30645.512394879672</v>
      </c>
      <c r="N18" s="19">
        <f t="shared" ca="1" si="3"/>
        <v>-36234.3431671578</v>
      </c>
      <c r="O18" s="20">
        <f t="shared" ca="1" si="3"/>
        <v>-42337.755891173692</v>
      </c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</row>
    <row r="19" spans="1:48" ht="17" thickBot="1">
      <c r="A19" s="3" t="s">
        <v>7</v>
      </c>
      <c r="B19" s="5" t="s">
        <v>8</v>
      </c>
      <c r="C19" s="10"/>
      <c r="D19" s="34" t="s">
        <v>20</v>
      </c>
      <c r="E19" s="35">
        <v>1244</v>
      </c>
      <c r="F19" s="35">
        <f ca="1">$B$22*(E28+F28)/2</f>
        <v>-3727.0982411455025</v>
      </c>
      <c r="G19" s="35">
        <f t="shared" ref="G19:O19" ca="1" si="4">$B$22*(F28+G28)/2</f>
        <v>-6541.1061080207046</v>
      </c>
      <c r="H19" s="35">
        <f t="shared" ca="1" si="4"/>
        <v>-2009.9294001829653</v>
      </c>
      <c r="I19" s="35">
        <f t="shared" ca="1" si="4"/>
        <v>2988.3148862039975</v>
      </c>
      <c r="J19" s="35">
        <f t="shared" ca="1" si="4"/>
        <v>8488.0313399785919</v>
      </c>
      <c r="K19" s="35">
        <f t="shared" ca="1" si="4"/>
        <v>14525.413511183813</v>
      </c>
      <c r="L19" s="35">
        <f t="shared" ca="1" si="4"/>
        <v>21138.439734384101</v>
      </c>
      <c r="M19" s="35">
        <f t="shared" ca="1" si="4"/>
        <v>28366.849024495154</v>
      </c>
      <c r="N19" s="35">
        <f t="shared" ca="1" si="4"/>
        <v>36252.092992525002</v>
      </c>
      <c r="O19" s="36">
        <f t="shared" ca="1" si="4"/>
        <v>44837.259106377714</v>
      </c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</row>
    <row r="20" spans="1:48" ht="17" thickBot="1">
      <c r="A20" s="3" t="s">
        <v>9</v>
      </c>
      <c r="B20" s="4">
        <v>0.12</v>
      </c>
      <c r="C20" s="10"/>
      <c r="D20" s="18" t="s">
        <v>21</v>
      </c>
      <c r="E20" s="19">
        <v>-3255</v>
      </c>
      <c r="F20" s="19">
        <f ca="1">-$B$18*(E31+F31)/2</f>
        <v>-12757.381052631579</v>
      </c>
      <c r="G20" s="19">
        <f t="shared" ref="G20:O20" ca="1" si="5">-$B$18*(F31+G31)/2</f>
        <v>-23923.729795013856</v>
      </c>
      <c r="H20" s="19">
        <f t="shared" ca="1" si="5"/>
        <v>-28523.186110278475</v>
      </c>
      <c r="I20" s="19">
        <f t="shared" ca="1" si="5"/>
        <v>-33814.912618728842</v>
      </c>
      <c r="J20" s="19">
        <f t="shared" ca="1" si="5"/>
        <v>-39892.59155670031</v>
      </c>
      <c r="K20" s="19">
        <f t="shared" ca="1" si="5"/>
        <v>-46861.847617531923</v>
      </c>
      <c r="L20" s="19">
        <f t="shared" ca="1" si="5"/>
        <v>-54841.713169200557</v>
      </c>
      <c r="M20" s="19">
        <f t="shared" ca="1" si="5"/>
        <v>-63966.268517079778</v>
      </c>
      <c r="N20" s="19">
        <f t="shared" ca="1" si="5"/>
        <v>-74386.477718795257</v>
      </c>
      <c r="O20" s="20">
        <f t="shared" ca="1" si="5"/>
        <v>-86272.24282489359</v>
      </c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</row>
    <row r="21" spans="1:48" ht="17" thickBot="1">
      <c r="A21" s="3" t="s">
        <v>10</v>
      </c>
      <c r="B21" s="4">
        <v>0.2</v>
      </c>
      <c r="C21" s="10"/>
      <c r="D21" s="34" t="s">
        <v>22</v>
      </c>
      <c r="E21" s="32">
        <v>7146</v>
      </c>
      <c r="F21" s="32">
        <f ca="1">SUM(F15:F20)</f>
        <v>122041.66818679568</v>
      </c>
      <c r="G21" s="32">
        <f t="shared" ref="G21:O21" ca="1" si="6">SUM(G15:G20)</f>
        <v>118857.69570697581</v>
      </c>
      <c r="H21" s="32">
        <f t="shared" ca="1" si="6"/>
        <v>131129.02560123007</v>
      </c>
      <c r="I21" s="32">
        <f t="shared" ca="1" si="6"/>
        <v>144402.1388771332</v>
      </c>
      <c r="J21" s="32">
        <f t="shared" ca="1" si="6"/>
        <v>158746.60757132509</v>
      </c>
      <c r="K21" s="32">
        <f t="shared" ca="1" si="6"/>
        <v>174235.56094189969</v>
      </c>
      <c r="L21" s="32">
        <f t="shared" ca="1" si="6"/>
        <v>190945.67868221519</v>
      </c>
      <c r="M21" s="32">
        <f t="shared" ca="1" si="6"/>
        <v>208957.14517781389</v>
      </c>
      <c r="N21" s="32">
        <f t="shared" ca="1" si="6"/>
        <v>228353.55687837803</v>
      </c>
      <c r="O21" s="33">
        <f t="shared" ca="1" si="6"/>
        <v>249221.77363929714</v>
      </c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</row>
    <row r="22" spans="1:48" ht="17" thickBot="1">
      <c r="A22" s="3" t="s">
        <v>11</v>
      </c>
      <c r="B22" s="4">
        <v>0.08</v>
      </c>
      <c r="C22" s="10"/>
      <c r="D22" s="18" t="s">
        <v>23</v>
      </c>
      <c r="E22" s="19">
        <v>-3849</v>
      </c>
      <c r="F22" s="19">
        <f ca="1">-F21*$B$23</f>
        <v>-35392.083774170744</v>
      </c>
      <c r="G22" s="19">
        <f t="shared" ref="G22:O22" ca="1" si="7">-G21*$B$23</f>
        <v>-34468.731755022978</v>
      </c>
      <c r="H22" s="19">
        <f t="shared" ca="1" si="7"/>
        <v>-38027.417424356718</v>
      </c>
      <c r="I22" s="19">
        <f t="shared" ca="1" si="7"/>
        <v>-41876.620274368623</v>
      </c>
      <c r="J22" s="19">
        <f t="shared" ca="1" si="7"/>
        <v>-46036.516195684271</v>
      </c>
      <c r="K22" s="19">
        <f t="shared" ca="1" si="7"/>
        <v>-50528.312673150904</v>
      </c>
      <c r="L22" s="19">
        <f t="shared" ca="1" si="7"/>
        <v>-55374.246817842402</v>
      </c>
      <c r="M22" s="19">
        <f t="shared" ca="1" si="7"/>
        <v>-60597.572101566024</v>
      </c>
      <c r="N22" s="19">
        <f t="shared" ca="1" si="7"/>
        <v>-66222.531494729628</v>
      </c>
      <c r="O22" s="20">
        <f t="shared" ca="1" si="7"/>
        <v>-72274.314355396171</v>
      </c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</row>
    <row r="23" spans="1:48" ht="17" thickBot="1">
      <c r="A23" s="3" t="s">
        <v>12</v>
      </c>
      <c r="B23" s="4">
        <v>0.28999999999999998</v>
      </c>
      <c r="C23" s="10"/>
      <c r="D23" s="34" t="s">
        <v>24</v>
      </c>
      <c r="E23" s="32">
        <v>3297</v>
      </c>
      <c r="F23" s="32">
        <f ca="1">F21+F22</f>
        <v>86649.584412624943</v>
      </c>
      <c r="G23" s="32">
        <f t="shared" ref="G23:O23" ca="1" si="8">G21+G22</f>
        <v>84388.963951952828</v>
      </c>
      <c r="H23" s="32">
        <f t="shared" ca="1" si="8"/>
        <v>93101.608176873357</v>
      </c>
      <c r="I23" s="32">
        <f t="shared" ca="1" si="8"/>
        <v>102525.51860276458</v>
      </c>
      <c r="J23" s="32">
        <f t="shared" ca="1" si="8"/>
        <v>112710.09137564083</v>
      </c>
      <c r="K23" s="32">
        <f t="shared" ca="1" si="8"/>
        <v>123707.24826874878</v>
      </c>
      <c r="L23" s="32">
        <f t="shared" ca="1" si="8"/>
        <v>135571.4318643728</v>
      </c>
      <c r="M23" s="32">
        <f t="shared" ca="1" si="8"/>
        <v>148359.57307624788</v>
      </c>
      <c r="N23" s="32">
        <f t="shared" ca="1" si="8"/>
        <v>162131.0253836484</v>
      </c>
      <c r="O23" s="33">
        <f t="shared" ca="1" si="8"/>
        <v>176947.45928390097</v>
      </c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</row>
    <row r="24" spans="1:48" ht="17" thickBot="1">
      <c r="A24" s="6" t="s">
        <v>13</v>
      </c>
      <c r="B24" s="7">
        <v>0.4</v>
      </c>
      <c r="C24" s="10"/>
      <c r="D24" s="18" t="s">
        <v>25</v>
      </c>
      <c r="E24" s="19">
        <v>-1071</v>
      </c>
      <c r="F24" s="19">
        <f ca="1">-F23*$B$24</f>
        <v>-34659.833765049982</v>
      </c>
      <c r="G24" s="19">
        <f t="shared" ref="G24:O24" ca="1" si="9">-G23*$B$24</f>
        <v>-33755.585580781131</v>
      </c>
      <c r="H24" s="19">
        <f t="shared" ca="1" si="9"/>
        <v>-37240.643270749344</v>
      </c>
      <c r="I24" s="19">
        <f t="shared" ca="1" si="9"/>
        <v>-41010.207441105835</v>
      </c>
      <c r="J24" s="19">
        <f t="shared" ca="1" si="9"/>
        <v>-45084.036550256336</v>
      </c>
      <c r="K24" s="19">
        <f t="shared" ca="1" si="9"/>
        <v>-49482.899307499516</v>
      </c>
      <c r="L24" s="19">
        <f t="shared" ca="1" si="9"/>
        <v>-54228.572745749123</v>
      </c>
      <c r="M24" s="19">
        <f t="shared" ca="1" si="9"/>
        <v>-59343.829230499156</v>
      </c>
      <c r="N24" s="19">
        <f t="shared" ca="1" si="9"/>
        <v>-64852.410153459365</v>
      </c>
      <c r="O24" s="20">
        <f t="shared" ca="1" si="9"/>
        <v>-70778.983713560388</v>
      </c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</row>
    <row r="25" spans="1:48" ht="17" thickBot="1">
      <c r="A25" s="1" t="s">
        <v>14</v>
      </c>
      <c r="B25" s="8">
        <v>0.5</v>
      </c>
      <c r="C25" s="10"/>
      <c r="D25" s="37" t="s">
        <v>26</v>
      </c>
      <c r="E25" s="32">
        <v>2226</v>
      </c>
      <c r="F25" s="32">
        <f ca="1">F23+F24</f>
        <v>51989.750647574961</v>
      </c>
      <c r="G25" s="32">
        <f t="shared" ref="G25:O25" ca="1" si="10">G23+G24</f>
        <v>50633.378371171697</v>
      </c>
      <c r="H25" s="32">
        <f t="shared" ca="1" si="10"/>
        <v>55860.964906124012</v>
      </c>
      <c r="I25" s="32">
        <f t="shared" ca="1" si="10"/>
        <v>61515.311161658748</v>
      </c>
      <c r="J25" s="32">
        <f t="shared" ca="1" si="10"/>
        <v>67626.05482538449</v>
      </c>
      <c r="K25" s="32">
        <f t="shared" ca="1" si="10"/>
        <v>74224.348961249256</v>
      </c>
      <c r="L25" s="32">
        <f t="shared" ca="1" si="10"/>
        <v>81342.859118623688</v>
      </c>
      <c r="M25" s="32">
        <f t="shared" ca="1" si="10"/>
        <v>89015.743845748715</v>
      </c>
      <c r="N25" s="32">
        <f t="shared" ca="1" si="10"/>
        <v>97278.61523018904</v>
      </c>
      <c r="O25" s="33">
        <f t="shared" ca="1" si="10"/>
        <v>106168.47557034058</v>
      </c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</row>
    <row r="26" spans="1:48">
      <c r="C26" s="10"/>
      <c r="D26" s="18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2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</row>
    <row r="27" spans="1:48">
      <c r="C27" s="10"/>
      <c r="D27" s="31" t="s">
        <v>27</v>
      </c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6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</row>
    <row r="28" spans="1:48">
      <c r="C28" s="10"/>
      <c r="D28" s="18" t="s">
        <v>28</v>
      </c>
      <c r="E28" s="19">
        <v>15499</v>
      </c>
      <c r="F28" s="19">
        <f ca="1">F40-F33-F29</f>
        <v>-108676.45602863756</v>
      </c>
      <c r="G28" s="19">
        <f t="shared" ref="G28:O28" ca="1" si="11">G40-G33-G29</f>
        <v>-54851.196671880069</v>
      </c>
      <c r="H28" s="19">
        <f t="shared" ca="1" si="11"/>
        <v>4602.9616673059354</v>
      </c>
      <c r="I28" s="19">
        <f ca="1">I40-I33-I29</f>
        <v>70104.910487793997</v>
      </c>
      <c r="J28" s="19">
        <f t="shared" ca="1" si="11"/>
        <v>142095.87301167077</v>
      </c>
      <c r="K28" s="19">
        <f t="shared" ca="1" si="11"/>
        <v>221039.46476792457</v>
      </c>
      <c r="L28" s="19">
        <f t="shared" ca="1" si="11"/>
        <v>307421.52859167795</v>
      </c>
      <c r="M28" s="19">
        <f t="shared" ca="1" si="11"/>
        <v>401749.69702070084</v>
      </c>
      <c r="N28" s="19">
        <f t="shared" ca="1" si="11"/>
        <v>504552.62779242406</v>
      </c>
      <c r="O28" s="20">
        <f t="shared" ca="1" si="11"/>
        <v>616378.84986701887</v>
      </c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</row>
    <row r="29" spans="1:48">
      <c r="C29" s="10"/>
      <c r="D29" s="34" t="s">
        <v>29</v>
      </c>
      <c r="E29" s="35">
        <v>93965</v>
      </c>
      <c r="F29" s="35">
        <f>F15*$B$13</f>
        <v>70611.09</v>
      </c>
      <c r="G29" s="35">
        <f t="shared" ref="G29:O29" si="12">G15*$B$13</f>
        <v>77672.199000000008</v>
      </c>
      <c r="H29" s="35">
        <f t="shared" si="12"/>
        <v>85439.418900000019</v>
      </c>
      <c r="I29" s="35">
        <f t="shared" si="12"/>
        <v>93983.360790000035</v>
      </c>
      <c r="J29" s="35">
        <f t="shared" si="12"/>
        <v>103381.69686900005</v>
      </c>
      <c r="K29" s="35">
        <f t="shared" si="12"/>
        <v>113719.86655590007</v>
      </c>
      <c r="L29" s="35">
        <f t="shared" si="12"/>
        <v>125091.85321149007</v>
      </c>
      <c r="M29" s="35">
        <f t="shared" si="12"/>
        <v>137601.0385326391</v>
      </c>
      <c r="N29" s="35">
        <f t="shared" si="12"/>
        <v>151361.14238590302</v>
      </c>
      <c r="O29" s="36">
        <f t="shared" si="12"/>
        <v>166497.25662449331</v>
      </c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</row>
    <row r="30" spans="1:48">
      <c r="C30" s="10"/>
      <c r="D30" s="22" t="s">
        <v>30</v>
      </c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2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</row>
    <row r="31" spans="1:48">
      <c r="C31" s="13"/>
      <c r="D31" s="34" t="s">
        <v>31</v>
      </c>
      <c r="E31" s="35">
        <v>37287</v>
      </c>
      <c r="F31" s="35">
        <f ca="1">F33-F32</f>
        <v>217860.62105263158</v>
      </c>
      <c r="G31" s="35">
        <f t="shared" ref="G31:O31" ca="1" si="13">G33-G32</f>
        <v>260613.9748476455</v>
      </c>
      <c r="H31" s="35">
        <f t="shared" ca="1" si="13"/>
        <v>309849.747357924</v>
      </c>
      <c r="I31" s="35">
        <f t="shared" ca="1" si="13"/>
        <v>366448.50501665287</v>
      </c>
      <c r="J31" s="35">
        <f t="shared" ca="1" si="13"/>
        <v>431403.32611735328</v>
      </c>
      <c r="K31" s="35">
        <f t="shared" ca="1" si="13"/>
        <v>505833.62623328518</v>
      </c>
      <c r="L31" s="35">
        <f t="shared" ca="1" si="13"/>
        <v>591000.63715072582</v>
      </c>
      <c r="M31" s="35">
        <f t="shared" ca="1" si="13"/>
        <v>688324.73319086968</v>
      </c>
      <c r="N31" s="35">
        <f t="shared" ca="1" si="13"/>
        <v>799404.82118503528</v>
      </c>
      <c r="O31" s="36">
        <f t="shared" ca="1" si="13"/>
        <v>926040.03531283629</v>
      </c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</row>
    <row r="32" spans="1:48">
      <c r="C32" s="10"/>
      <c r="D32" s="18" t="s">
        <v>32</v>
      </c>
      <c r="E32" s="19">
        <v>-16807</v>
      </c>
      <c r="F32" s="19">
        <f ca="1">E32+F20</f>
        <v>-29564.381052631579</v>
      </c>
      <c r="G32" s="19">
        <f t="shared" ref="G32:O32" ca="1" si="14">F32+G20</f>
        <v>-53488.110847645439</v>
      </c>
      <c r="H32" s="19">
        <f t="shared" ca="1" si="14"/>
        <v>-82011.296957923914</v>
      </c>
      <c r="I32" s="19">
        <f t="shared" ca="1" si="14"/>
        <v>-115826.20957665276</v>
      </c>
      <c r="J32" s="19">
        <f t="shared" ca="1" si="14"/>
        <v>-155718.80113335309</v>
      </c>
      <c r="K32" s="19">
        <f t="shared" ca="1" si="14"/>
        <v>-202580.64875088501</v>
      </c>
      <c r="L32" s="19">
        <f t="shared" ca="1" si="14"/>
        <v>-257422.36192008556</v>
      </c>
      <c r="M32" s="19">
        <f t="shared" ca="1" si="14"/>
        <v>-321388.63043716532</v>
      </c>
      <c r="N32" s="19">
        <f t="shared" ca="1" si="14"/>
        <v>-395775.10815596057</v>
      </c>
      <c r="O32" s="20">
        <f t="shared" ca="1" si="14"/>
        <v>-482047.35098085413</v>
      </c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</row>
    <row r="33" spans="2:48">
      <c r="C33" s="10"/>
      <c r="D33" s="34" t="s">
        <v>33</v>
      </c>
      <c r="E33" s="35">
        <v>20480</v>
      </c>
      <c r="F33" s="35">
        <f>$B$15*F15</f>
        <v>188296.24000000002</v>
      </c>
      <c r="G33" s="35">
        <f t="shared" ref="G33:O33" si="15">$B$15*G15</f>
        <v>207125.86400000006</v>
      </c>
      <c r="H33" s="35">
        <f t="shared" si="15"/>
        <v>227838.45040000009</v>
      </c>
      <c r="I33" s="35">
        <f t="shared" si="15"/>
        <v>250622.29544000013</v>
      </c>
      <c r="J33" s="35">
        <f t="shared" si="15"/>
        <v>275684.52498400019</v>
      </c>
      <c r="K33" s="35">
        <f t="shared" si="15"/>
        <v>303252.97748240019</v>
      </c>
      <c r="L33" s="35">
        <f t="shared" si="15"/>
        <v>333578.27523064025</v>
      </c>
      <c r="M33" s="35">
        <f t="shared" si="15"/>
        <v>366936.1027537043</v>
      </c>
      <c r="N33" s="35">
        <f t="shared" si="15"/>
        <v>403629.71302907472</v>
      </c>
      <c r="O33" s="36">
        <f t="shared" si="15"/>
        <v>443992.68433198222</v>
      </c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</row>
    <row r="34" spans="2:48">
      <c r="C34" s="13"/>
      <c r="D34" s="25" t="s">
        <v>34</v>
      </c>
      <c r="E34" s="26">
        <v>114445</v>
      </c>
      <c r="F34" s="26">
        <f ca="1">F33+F29+F28</f>
        <v>150230.87397136245</v>
      </c>
      <c r="G34" s="26">
        <f t="shared" ref="G34:O34" ca="1" si="16">G33+G29+G28</f>
        <v>229946.86632812</v>
      </c>
      <c r="H34" s="26">
        <f t="shared" ca="1" si="16"/>
        <v>317880.83096730604</v>
      </c>
      <c r="I34" s="26">
        <f t="shared" ca="1" si="16"/>
        <v>414710.56671779417</v>
      </c>
      <c r="J34" s="26">
        <f t="shared" ca="1" si="16"/>
        <v>521162.094864671</v>
      </c>
      <c r="K34" s="26">
        <f t="shared" ca="1" si="16"/>
        <v>638012.30880622484</v>
      </c>
      <c r="L34" s="26">
        <f t="shared" ca="1" si="16"/>
        <v>766091.6570338083</v>
      </c>
      <c r="M34" s="26">
        <f t="shared" ca="1" si="16"/>
        <v>906286.83830704424</v>
      </c>
      <c r="N34" s="26">
        <f t="shared" ca="1" si="16"/>
        <v>1059543.4832074018</v>
      </c>
      <c r="O34" s="27">
        <f t="shared" ca="1" si="16"/>
        <v>1226868.7908234945</v>
      </c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</row>
    <row r="35" spans="2:48">
      <c r="C35" s="10"/>
      <c r="D35" s="34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6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</row>
    <row r="36" spans="2:48">
      <c r="C36" s="10"/>
      <c r="D36" s="18" t="s">
        <v>35</v>
      </c>
      <c r="E36" s="19">
        <v>83977</v>
      </c>
      <c r="F36" s="19">
        <f>$B$14*F15</f>
        <v>37659.248000000007</v>
      </c>
      <c r="G36" s="19">
        <f t="shared" ref="G36:O36" si="17">$B$14*G15</f>
        <v>41425.172800000008</v>
      </c>
      <c r="H36" s="19">
        <f t="shared" si="17"/>
        <v>45567.690080000015</v>
      </c>
      <c r="I36" s="19">
        <f t="shared" si="17"/>
        <v>50124.459088000025</v>
      </c>
      <c r="J36" s="19">
        <f t="shared" si="17"/>
        <v>55136.904996800033</v>
      </c>
      <c r="K36" s="19">
        <f t="shared" si="17"/>
        <v>60650.59549648004</v>
      </c>
      <c r="L36" s="19">
        <f t="shared" si="17"/>
        <v>66715.655046128042</v>
      </c>
      <c r="M36" s="19">
        <f t="shared" si="17"/>
        <v>73387.220550740851</v>
      </c>
      <c r="N36" s="19">
        <f t="shared" si="17"/>
        <v>80725.94260581494</v>
      </c>
      <c r="O36" s="20">
        <f t="shared" si="17"/>
        <v>88798.536866396447</v>
      </c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</row>
    <row r="37" spans="2:48">
      <c r="B37" s="9"/>
      <c r="C37" s="10"/>
      <c r="D37" s="34" t="s">
        <v>36</v>
      </c>
      <c r="E37" s="35">
        <v>7410</v>
      </c>
      <c r="F37" s="35">
        <f ca="1">$B$25*(F38+F39)</f>
        <v>37523.875323787477</v>
      </c>
      <c r="G37" s="35">
        <f t="shared" ref="G37:N37" ca="1" si="18">$B$25*(G38+G39)</f>
        <v>62840.564509373333</v>
      </c>
      <c r="H37" s="35">
        <f t="shared" ca="1" si="18"/>
        <v>90771.046962435343</v>
      </c>
      <c r="I37" s="35">
        <f t="shared" ca="1" si="18"/>
        <v>121528.70254326472</v>
      </c>
      <c r="J37" s="35">
        <f t="shared" ca="1" si="18"/>
        <v>155341.72995595698</v>
      </c>
      <c r="K37" s="35">
        <f t="shared" ca="1" si="18"/>
        <v>192453.90443658159</v>
      </c>
      <c r="L37" s="35">
        <f t="shared" ca="1" si="18"/>
        <v>233125.33399589342</v>
      </c>
      <c r="M37" s="35">
        <f t="shared" ca="1" si="18"/>
        <v>277633.20591876778</v>
      </c>
      <c r="N37" s="35">
        <f t="shared" ca="1" si="18"/>
        <v>326272.51353386231</v>
      </c>
      <c r="O37" s="36">
        <f ca="1">$B$25*(O38+O39)</f>
        <v>379356.75131903263</v>
      </c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</row>
    <row r="38" spans="2:48">
      <c r="C38" s="10"/>
      <c r="D38" s="18" t="s">
        <v>37</v>
      </c>
      <c r="E38" s="23">
        <v>13486</v>
      </c>
      <c r="F38" s="23">
        <v>13486</v>
      </c>
      <c r="G38" s="23">
        <v>13486</v>
      </c>
      <c r="H38" s="23">
        <v>13486</v>
      </c>
      <c r="I38" s="23">
        <v>13486</v>
      </c>
      <c r="J38" s="23">
        <v>13486</v>
      </c>
      <c r="K38" s="23">
        <v>13486</v>
      </c>
      <c r="L38" s="23">
        <v>13486</v>
      </c>
      <c r="M38" s="23">
        <v>13486</v>
      </c>
      <c r="N38" s="23">
        <v>13486</v>
      </c>
      <c r="O38" s="24">
        <v>13486</v>
      </c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</row>
    <row r="39" spans="2:48">
      <c r="C39" s="10"/>
      <c r="D39" s="34" t="s">
        <v>38</v>
      </c>
      <c r="E39" s="38">
        <v>9572</v>
      </c>
      <c r="F39" s="35">
        <f ca="1">E39+F25</f>
        <v>61561.750647574961</v>
      </c>
      <c r="G39" s="35">
        <f t="shared" ref="G39:O39" ca="1" si="19">F39+G25</f>
        <v>112195.12901874667</v>
      </c>
      <c r="H39" s="35">
        <f t="shared" ca="1" si="19"/>
        <v>168056.09392487069</v>
      </c>
      <c r="I39" s="35">
        <f t="shared" ca="1" si="19"/>
        <v>229571.40508652944</v>
      </c>
      <c r="J39" s="35">
        <f t="shared" ca="1" si="19"/>
        <v>297197.45991191396</v>
      </c>
      <c r="K39" s="35">
        <f t="shared" ca="1" si="19"/>
        <v>371421.80887316319</v>
      </c>
      <c r="L39" s="35">
        <f t="shared" ca="1" si="19"/>
        <v>452764.66799178685</v>
      </c>
      <c r="M39" s="35">
        <f t="shared" ca="1" si="19"/>
        <v>541780.41183753556</v>
      </c>
      <c r="N39" s="35">
        <f t="shared" ca="1" si="19"/>
        <v>639059.02706772462</v>
      </c>
      <c r="O39" s="36">
        <f t="shared" ca="1" si="19"/>
        <v>745227.50263806526</v>
      </c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</row>
    <row r="40" spans="2:48" ht="17" thickBot="1">
      <c r="C40" s="10"/>
      <c r="D40" s="28" t="s">
        <v>39</v>
      </c>
      <c r="E40" s="29">
        <v>114445</v>
      </c>
      <c r="F40" s="29">
        <f ca="1">SUM(F36:F39)</f>
        <v>150230.87397136245</v>
      </c>
      <c r="G40" s="29">
        <f t="shared" ref="G40:O40" ca="1" si="20">SUM(G36:G39)</f>
        <v>229946.86632812</v>
      </c>
      <c r="H40" s="29">
        <f t="shared" ca="1" si="20"/>
        <v>317880.83096730604</v>
      </c>
      <c r="I40" s="29">
        <f t="shared" ca="1" si="20"/>
        <v>414710.56671779417</v>
      </c>
      <c r="J40" s="29">
        <f t="shared" ca="1" si="20"/>
        <v>521162.094864671</v>
      </c>
      <c r="K40" s="29">
        <f t="shared" ca="1" si="20"/>
        <v>638012.30880622484</v>
      </c>
      <c r="L40" s="29">
        <f t="shared" ca="1" si="20"/>
        <v>766091.6570338083</v>
      </c>
      <c r="M40" s="29">
        <f t="shared" ca="1" si="20"/>
        <v>906286.83830704424</v>
      </c>
      <c r="N40" s="29">
        <f t="shared" ca="1" si="20"/>
        <v>1059543.4832074018</v>
      </c>
      <c r="O40" s="30">
        <f t="shared" ca="1" si="20"/>
        <v>1226868.7908234943</v>
      </c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</row>
    <row r="41" spans="2:48"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</row>
    <row r="42" spans="2:48"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</row>
    <row r="43" spans="2:48">
      <c r="C43" s="10"/>
      <c r="D43" s="10"/>
      <c r="E43" s="10"/>
      <c r="F43" s="10"/>
      <c r="G43" s="10"/>
      <c r="H43" s="10"/>
      <c r="I43" s="13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</row>
    <row r="44" spans="2:48"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</row>
    <row r="45" spans="2:48"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</row>
    <row r="46" spans="2:48">
      <c r="C46" s="10"/>
      <c r="D46" s="10"/>
      <c r="E46" s="10"/>
      <c r="F46" s="10"/>
      <c r="G46" s="10"/>
      <c r="H46" s="10"/>
      <c r="I46" s="13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</row>
    <row r="47" spans="2:48"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</row>
    <row r="48" spans="2:48"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</row>
    <row r="49" spans="3:43"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</row>
    <row r="50" spans="3:43"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</row>
    <row r="51" spans="3:43" hidden="1"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</row>
    <row r="52" spans="3:43" hidden="1"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</row>
    <row r="53" spans="3:43" hidden="1"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</row>
    <row r="54" spans="3:43" hidden="1"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</row>
    <row r="55" spans="3:43" hidden="1"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</row>
    <row r="56" spans="3:43" hidden="1"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</row>
    <row r="57" spans="3:43" hidden="1"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</row>
    <row r="58" spans="3:43" hidden="1"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</row>
    <row r="59" spans="3:43" hidden="1"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</row>
    <row r="60" spans="3:43" hidden="1"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</row>
    <row r="61" spans="3:43" hidden="1"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</row>
    <row r="62" spans="3:43" hidden="1"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</row>
    <row r="63" spans="3:43" hidden="1"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</row>
    <row r="64" spans="3:43" hidden="1"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</row>
    <row r="65" spans="3:43" hidden="1"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</row>
    <row r="66" spans="3:43" hidden="1"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</row>
    <row r="67" spans="3:43" hidden="1"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</row>
    <row r="68" spans="3:43" hidden="1"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</row>
    <row r="69" spans="3:43" hidden="1"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</row>
    <row r="70" spans="3:43" hidden="1"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</row>
    <row r="71" spans="3:43" hidden="1"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</row>
    <row r="72" spans="3:43" hidden="1"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</row>
  </sheetData>
  <mergeCells count="2">
    <mergeCell ref="D12:D13"/>
    <mergeCell ref="D9:O11"/>
  </mergeCells>
  <phoneticPr fontId="6" type="noConversion"/>
  <pageMargins left="0.7" right="0.7" top="0.75" bottom="0.75" header="0.3" footer="0.3"/>
  <ignoredErrors>
    <ignoredError sqref="F24 G24:O24" 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86700-3FA7-5840-A8B2-D22E5C7F9350}">
  <dimension ref="A1:Y109"/>
  <sheetViews>
    <sheetView showGridLines="0" showRowColHeaders="0" workbookViewId="0"/>
  </sheetViews>
  <sheetFormatPr baseColWidth="10" defaultColWidth="0" defaultRowHeight="16" zeroHeight="1"/>
  <cols>
    <col min="1" max="1" width="10.83203125" style="10" customWidth="1"/>
    <col min="2" max="2" width="53.6640625" bestFit="1" customWidth="1"/>
    <col min="3" max="12" width="10.83203125" customWidth="1"/>
    <col min="13" max="13" width="20.33203125" customWidth="1"/>
    <col min="14" max="17" width="10.83203125" style="10" customWidth="1"/>
    <col min="18" max="25" width="0" style="10" hidden="1" customWidth="1"/>
    <col min="26" max="16384" width="10.83203125" hidden="1"/>
  </cols>
  <sheetData>
    <row r="1" spans="2:13" s="10" customFormat="1"/>
    <row r="2" spans="2:13" s="10" customFormat="1"/>
    <row r="3" spans="2:13" s="10" customFormat="1"/>
    <row r="4" spans="2:13" s="10" customFormat="1"/>
    <row r="5" spans="2:13" s="10" customFormat="1"/>
    <row r="6" spans="2:13" s="10" customFormat="1"/>
    <row r="7" spans="2:13" s="10" customFormat="1"/>
    <row r="8" spans="2:13" s="10" customFormat="1" ht="17" thickBot="1"/>
    <row r="9" spans="2:13">
      <c r="B9" s="92" t="s">
        <v>71</v>
      </c>
      <c r="C9" s="93"/>
      <c r="D9" s="93"/>
      <c r="E9" s="93"/>
      <c r="F9" s="93"/>
      <c r="G9" s="93"/>
      <c r="H9" s="93"/>
      <c r="I9" s="93"/>
      <c r="J9" s="93"/>
      <c r="K9" s="93"/>
      <c r="L9" s="93"/>
      <c r="M9" s="94"/>
    </row>
    <row r="10" spans="2:13">
      <c r="B10" s="95"/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7"/>
    </row>
    <row r="11" spans="2:13" ht="17" thickBot="1">
      <c r="B11" s="98"/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100"/>
    </row>
    <row r="12" spans="2:13" ht="17" thickBot="1">
      <c r="B12" s="71" t="s">
        <v>15</v>
      </c>
      <c r="C12" s="72">
        <v>2024</v>
      </c>
      <c r="D12" s="72">
        <v>2025</v>
      </c>
      <c r="E12" s="72">
        <v>2026</v>
      </c>
      <c r="F12" s="72">
        <v>2027</v>
      </c>
      <c r="G12" s="72">
        <v>2028</v>
      </c>
      <c r="H12" s="72">
        <v>2029</v>
      </c>
      <c r="I12" s="72">
        <v>2030</v>
      </c>
      <c r="J12" s="72">
        <v>2031</v>
      </c>
      <c r="K12" s="72">
        <v>2032</v>
      </c>
      <c r="L12" s="72">
        <v>2033</v>
      </c>
      <c r="M12" s="73">
        <v>2034</v>
      </c>
    </row>
    <row r="13" spans="2:13">
      <c r="B13" s="74" t="s">
        <v>42</v>
      </c>
      <c r="C13" s="75"/>
      <c r="D13" s="75">
        <f ca="1">'Financial model'!F23</f>
        <v>86649.584412624943</v>
      </c>
      <c r="E13" s="75">
        <f ca="1">'Financial model'!G23</f>
        <v>84388.963951952828</v>
      </c>
      <c r="F13" s="75">
        <f ca="1">'Financial model'!H23</f>
        <v>93101.608176873357</v>
      </c>
      <c r="G13" s="75">
        <f ca="1">'Financial model'!I23</f>
        <v>102525.51860276458</v>
      </c>
      <c r="H13" s="75">
        <f ca="1">'Financial model'!J23</f>
        <v>112710.09137564083</v>
      </c>
      <c r="I13" s="75">
        <f ca="1">'Financial model'!K23</f>
        <v>123707.24826874878</v>
      </c>
      <c r="J13" s="75">
        <f ca="1">'Financial model'!L23</f>
        <v>135571.4318643728</v>
      </c>
      <c r="K13" s="75">
        <f ca="1">'Financial model'!M23</f>
        <v>148359.57307624788</v>
      </c>
      <c r="L13" s="75">
        <f ca="1">'Financial model'!N23</f>
        <v>162131.0253836484</v>
      </c>
      <c r="M13" s="76">
        <f ca="1">'Financial model'!O23</f>
        <v>176947.45928390097</v>
      </c>
    </row>
    <row r="14" spans="2:13">
      <c r="B14" s="34" t="s">
        <v>43</v>
      </c>
      <c r="C14" s="83"/>
      <c r="D14" s="84">
        <f ca="1">-'Financial model'!F20</f>
        <v>12757.381052631579</v>
      </c>
      <c r="E14" s="84">
        <f ca="1">-'Financial model'!G20</f>
        <v>23923.729795013856</v>
      </c>
      <c r="F14" s="84">
        <f ca="1">-'Financial model'!H20</f>
        <v>28523.186110278475</v>
      </c>
      <c r="G14" s="84">
        <f ca="1">-'Financial model'!I20</f>
        <v>33814.912618728842</v>
      </c>
      <c r="H14" s="84">
        <f ca="1">-'Financial model'!J20</f>
        <v>39892.59155670031</v>
      </c>
      <c r="I14" s="84">
        <f ca="1">-'Financial model'!K20</f>
        <v>46861.847617531923</v>
      </c>
      <c r="J14" s="84">
        <f ca="1">-'Financial model'!L20</f>
        <v>54841.713169200557</v>
      </c>
      <c r="K14" s="84">
        <f ca="1">-'Financial model'!M20</f>
        <v>63966.268517079778</v>
      </c>
      <c r="L14" s="84">
        <f ca="1">-'Financial model'!N20</f>
        <v>74386.477718795257</v>
      </c>
      <c r="M14" s="85">
        <f ca="1">-'Financial model'!O20</f>
        <v>86272.24282489359</v>
      </c>
    </row>
    <row r="15" spans="2:13">
      <c r="B15" s="18" t="s">
        <v>44</v>
      </c>
      <c r="C15" s="77"/>
      <c r="D15" s="75">
        <f>-('Financial model'!F29-'Financial model'!E29)</f>
        <v>23353.910000000003</v>
      </c>
      <c r="E15" s="75">
        <f>-('Financial model'!G29-'Financial model'!F29)</f>
        <v>-7061.1090000000113</v>
      </c>
      <c r="F15" s="75">
        <f>-('Financial model'!H29-'Financial model'!G29)</f>
        <v>-7767.219900000011</v>
      </c>
      <c r="G15" s="75">
        <f>-('Financial model'!I29-'Financial model'!H29)</f>
        <v>-8543.9418900000164</v>
      </c>
      <c r="H15" s="75">
        <f>-('Financial model'!J29-'Financial model'!I29)</f>
        <v>-9398.3360790000152</v>
      </c>
      <c r="I15" s="75">
        <f>-('Financial model'!K29-'Financial model'!J29)</f>
        <v>-10338.169686900015</v>
      </c>
      <c r="J15" s="75">
        <f>-('Financial model'!L29-'Financial model'!K29)</f>
        <v>-11371.986655590008</v>
      </c>
      <c r="K15" s="75">
        <f>-('Financial model'!M29-'Financial model'!L29)</f>
        <v>-12509.185321149023</v>
      </c>
      <c r="L15" s="75">
        <f>-('Financial model'!N29-'Financial model'!M29)</f>
        <v>-13760.103853263921</v>
      </c>
      <c r="M15" s="76">
        <f>-('Financial model'!O29-'Financial model'!N29)</f>
        <v>-15136.114238590293</v>
      </c>
    </row>
    <row r="16" spans="2:13">
      <c r="B16" s="34" t="s">
        <v>45</v>
      </c>
      <c r="C16" s="83"/>
      <c r="D16" s="84">
        <f>'Financial model'!F36-'Financial model'!E36</f>
        <v>-46317.751999999993</v>
      </c>
      <c r="E16" s="84">
        <f>'Financial model'!G36-'Financial model'!F36</f>
        <v>3765.9248000000007</v>
      </c>
      <c r="F16" s="84">
        <f>'Financial model'!H36-'Financial model'!G36</f>
        <v>4142.5172800000073</v>
      </c>
      <c r="G16" s="84">
        <f>'Financial model'!I36-'Financial model'!H36</f>
        <v>4556.7690080000102</v>
      </c>
      <c r="H16" s="84">
        <f>'Financial model'!J36-'Financial model'!I36</f>
        <v>5012.4459088000076</v>
      </c>
      <c r="I16" s="84">
        <f>'Financial model'!K36-'Financial model'!J36</f>
        <v>5513.6904996800076</v>
      </c>
      <c r="J16" s="84">
        <f>'Financial model'!L36-'Financial model'!K36</f>
        <v>6065.0595496480018</v>
      </c>
      <c r="K16" s="84">
        <f>'Financial model'!M36-'Financial model'!L36</f>
        <v>6671.5655046128086</v>
      </c>
      <c r="L16" s="84">
        <f>'Financial model'!N36-'Financial model'!M36</f>
        <v>7338.7220550740894</v>
      </c>
      <c r="M16" s="85">
        <f>'Financial model'!O36-'Financial model'!N36</f>
        <v>8072.5942605815071</v>
      </c>
    </row>
    <row r="17" spans="2:13">
      <c r="B17" s="18" t="s">
        <v>46</v>
      </c>
      <c r="C17" s="77"/>
      <c r="D17" s="81">
        <f ca="1">-('Financial model'!F31-'Financial model'!E31)</f>
        <v>-180573.62105263158</v>
      </c>
      <c r="E17" s="81">
        <f ca="1">-('Financial model'!G31-'Financial model'!F31)</f>
        <v>-42753.353795013914</v>
      </c>
      <c r="F17" s="81">
        <f ca="1">-('Financial model'!H31-'Financial model'!G31)</f>
        <v>-49235.772510278504</v>
      </c>
      <c r="G17" s="81">
        <f ca="1">-('Financial model'!I31-'Financial model'!H31)</f>
        <v>-56598.757658728864</v>
      </c>
      <c r="H17" s="81">
        <f ca="1">-('Financial model'!J31-'Financial model'!I31)</f>
        <v>-64954.821100700414</v>
      </c>
      <c r="I17" s="81">
        <f ca="1">-('Financial model'!K31-'Financial model'!J31)</f>
        <v>-74430.300115931896</v>
      </c>
      <c r="J17" s="81">
        <f ca="1">-('Financial model'!L31-'Financial model'!K31)</f>
        <v>-85167.010917440639</v>
      </c>
      <c r="K17" s="81">
        <f ca="1">-('Financial model'!M31-'Financial model'!L31)</f>
        <v>-97324.096040143864</v>
      </c>
      <c r="L17" s="81">
        <f ca="1">-('Financial model'!N31-'Financial model'!M31)</f>
        <v>-111080.0879941656</v>
      </c>
      <c r="M17" s="82">
        <f ca="1">-('Financial model'!O31-'Financial model'!N31)</f>
        <v>-126635.21412780101</v>
      </c>
    </row>
    <row r="18" spans="2:13">
      <c r="B18" s="34" t="s">
        <v>47</v>
      </c>
      <c r="C18" s="83"/>
      <c r="D18" s="86">
        <f ca="1">-('Financial model'!F18*(1-'Financial model'!$B$23))</f>
        <v>1914.1830887933465</v>
      </c>
      <c r="E18" s="86">
        <f ca="1">-('Financial model'!G18*(1-'Financial model'!$B$23))</f>
        <v>4275.5251368926502</v>
      </c>
      <c r="F18" s="86">
        <f ca="1">-('Financial model'!H18*(1-'Financial model'!$B$23))</f>
        <v>6543.854648699049</v>
      </c>
      <c r="G18" s="86">
        <f ca="1">-('Financial model'!I18*(1-'Financial model'!$B$23))</f>
        <v>9043.9693289428233</v>
      </c>
      <c r="H18" s="86">
        <f ca="1">-('Financial model'!J18*(1-'Financial model'!$B$23))</f>
        <v>11794.680424466844</v>
      </c>
      <c r="I18" s="86">
        <f ca="1">-('Financial model'!K18*(1-'Financial model'!$B$23))</f>
        <v>14816.094025122144</v>
      </c>
      <c r="J18" s="86">
        <f ca="1">-('Financial model'!L18*(1-'Financial model'!$B$23))</f>
        <v>18129.675557223432</v>
      </c>
      <c r="K18" s="86">
        <f ca="1">-('Financial model'!M18*(1-'Financial model'!$B$23))</f>
        <v>21758.313800364565</v>
      </c>
      <c r="L18" s="86">
        <f ca="1">-('Financial model'!N18*(1-'Financial model'!$B$23))</f>
        <v>25726.383648682036</v>
      </c>
      <c r="M18" s="87">
        <f ca="1">-('Financial model'!O18*(1-'Financial model'!$B$23))</f>
        <v>30059.80668273332</v>
      </c>
    </row>
    <row r="19" spans="2:13">
      <c r="B19" s="18" t="s">
        <v>48</v>
      </c>
      <c r="C19" s="77"/>
      <c r="D19" s="81">
        <f ca="1">-('Financial model'!F19*(1-'Financial model'!$B$23))</f>
        <v>2646.2397512133066</v>
      </c>
      <c r="E19" s="81">
        <f ca="1">-('Financial model'!G19*(1-'Financial model'!$B$23))</f>
        <v>4644.1853366946998</v>
      </c>
      <c r="F19" s="81">
        <f ca="1">-('Financial model'!H19*(1-'Financial model'!$B$23))</f>
        <v>1427.0498741299052</v>
      </c>
      <c r="G19" s="81">
        <f ca="1">-('Financial model'!I19*(1-'Financial model'!$B$23))</f>
        <v>-2121.703569204838</v>
      </c>
      <c r="H19" s="81">
        <f ca="1">-('Financial model'!J19*(1-'Financial model'!$B$23))</f>
        <v>-6026.5022513847998</v>
      </c>
      <c r="I19" s="81">
        <f ca="1">-('Financial model'!K19*(1-'Financial model'!$B$23))</f>
        <v>-10313.043592940507</v>
      </c>
      <c r="J19" s="81">
        <f ca="1">-('Financial model'!L19*(1-'Financial model'!$B$23))</f>
        <v>-15008.29221141271</v>
      </c>
      <c r="K19" s="81">
        <f ca="1">-('Financial model'!M19*(1-'Financial model'!$B$23))</f>
        <v>-20140.462807391559</v>
      </c>
      <c r="L19" s="81">
        <f ca="1">-('Financial model'!N19*(1-'Financial model'!$B$23))</f>
        <v>-25738.986024692749</v>
      </c>
      <c r="M19" s="82">
        <f ca="1">-('Financial model'!O19*(1-'Financial model'!$B$23))</f>
        <v>-31834.453965528177</v>
      </c>
    </row>
    <row r="20" spans="2:13" s="10" customFormat="1" ht="17" thickBot="1">
      <c r="B20" s="28" t="s">
        <v>49</v>
      </c>
      <c r="C20" s="80"/>
      <c r="D20" s="78">
        <f ca="1">SUM(D13:D19)</f>
        <v>-99570.074747368402</v>
      </c>
      <c r="E20" s="78">
        <f t="shared" ref="E20:M20" ca="1" si="0">SUM(E13:E19)</f>
        <v>71183.866225540114</v>
      </c>
      <c r="F20" s="78">
        <f t="shared" ca="1" si="0"/>
        <v>76735.223679702292</v>
      </c>
      <c r="G20" s="78">
        <f t="shared" ca="1" si="0"/>
        <v>82676.766440502543</v>
      </c>
      <c r="H20" s="78">
        <f t="shared" ca="1" si="0"/>
        <v>89030.14983452273</v>
      </c>
      <c r="I20" s="78">
        <f t="shared" ca="1" si="0"/>
        <v>95817.367015310432</v>
      </c>
      <c r="J20" s="78">
        <f t="shared" ca="1" si="0"/>
        <v>103060.59035600143</v>
      </c>
      <c r="K20" s="78">
        <f t="shared" ca="1" si="0"/>
        <v>110781.97672962057</v>
      </c>
      <c r="L20" s="78">
        <f t="shared" ca="1" si="0"/>
        <v>119003.43093407751</v>
      </c>
      <c r="M20" s="79">
        <f t="shared" ca="1" si="0"/>
        <v>127746.32072018995</v>
      </c>
    </row>
    <row r="21" spans="2:13" s="10" customFormat="1"/>
    <row r="22" spans="2:13" s="10" customFormat="1"/>
    <row r="23" spans="2:13" s="10" customFormat="1"/>
    <row r="24" spans="2:13" s="10" customFormat="1"/>
    <row r="25" spans="2:13" s="10" customFormat="1"/>
    <row r="26" spans="2:13" s="10" customFormat="1"/>
    <row r="27" spans="2:13" s="10" customFormat="1"/>
    <row r="28" spans="2:13" s="10" customFormat="1"/>
    <row r="29" spans="2:13" s="10" customFormat="1"/>
    <row r="30" spans="2:13" s="10" customFormat="1"/>
    <row r="31" spans="2:13" s="10" customFormat="1"/>
    <row r="32" spans="2:13" s="10" customFormat="1"/>
    <row r="33" s="10" customFormat="1"/>
    <row r="34" s="10" customFormat="1"/>
    <row r="35" s="10" customFormat="1"/>
    <row r="36" s="10" customFormat="1"/>
    <row r="37" s="10" customFormat="1"/>
    <row r="38" s="10" customFormat="1"/>
    <row r="39" s="10" customFormat="1"/>
    <row r="40" s="10" customFormat="1"/>
    <row r="41" s="10" customFormat="1"/>
    <row r="42" s="10" customFormat="1" hidden="1"/>
    <row r="43" s="10" customFormat="1" hidden="1"/>
    <row r="44" s="10" customFormat="1" hidden="1"/>
    <row r="45" s="10" customFormat="1" hidden="1"/>
    <row r="46" s="10" customFormat="1" hidden="1"/>
    <row r="47" s="10" customFormat="1" hidden="1"/>
    <row r="48" s="10" customFormat="1" hidden="1"/>
    <row r="49" s="10" customFormat="1" hidden="1"/>
    <row r="50" s="10" customFormat="1" hidden="1"/>
    <row r="51" s="10" customFormat="1" hidden="1"/>
    <row r="52" s="10" customFormat="1" hidden="1"/>
    <row r="53" s="10" customFormat="1" hidden="1"/>
    <row r="54" s="10" customFormat="1" hidden="1"/>
    <row r="55" s="10" customFormat="1" hidden="1"/>
    <row r="56" s="10" customFormat="1" hidden="1"/>
    <row r="57" s="10" customFormat="1" hidden="1"/>
    <row r="58" s="10" customFormat="1" hidden="1"/>
    <row r="59" s="10" customFormat="1" hidden="1"/>
    <row r="60" s="10" customFormat="1" hidden="1"/>
    <row r="61" s="10" customFormat="1" hidden="1"/>
    <row r="62" s="10" customFormat="1" hidden="1"/>
    <row r="63" s="10" customFormat="1" hidden="1"/>
    <row r="64" s="10" customFormat="1" hidden="1"/>
    <row r="65" s="10" customFormat="1" hidden="1"/>
    <row r="66" s="10" customFormat="1" hidden="1"/>
    <row r="67" s="10" customFormat="1" hidden="1"/>
    <row r="68" s="10" customFormat="1" hidden="1"/>
    <row r="69" s="10" customFormat="1" hidden="1"/>
    <row r="70" s="10" customFormat="1" hidden="1"/>
    <row r="71" s="10" customFormat="1" hidden="1"/>
    <row r="72" s="10" customFormat="1" hidden="1"/>
    <row r="73" s="10" customFormat="1" hidden="1"/>
    <row r="74" s="10" customFormat="1" hidden="1"/>
    <row r="75" s="10" customFormat="1" hidden="1"/>
    <row r="76" s="10" customFormat="1" hidden="1"/>
    <row r="77" s="10" customFormat="1" hidden="1"/>
    <row r="78" s="10" customFormat="1" hidden="1"/>
    <row r="79" s="10" customFormat="1" hidden="1"/>
    <row r="80" s="10" customFormat="1" hidden="1"/>
    <row r="81" s="10" customFormat="1" hidden="1"/>
    <row r="82" s="10" customFormat="1" hidden="1"/>
    <row r="83" s="10" customFormat="1" hidden="1"/>
    <row r="84" s="10" customFormat="1" hidden="1"/>
    <row r="85" s="10" customFormat="1" hidden="1"/>
    <row r="86" s="10" customFormat="1" hidden="1"/>
    <row r="87" s="10" customFormat="1" hidden="1"/>
    <row r="88" s="10" customFormat="1" hidden="1"/>
    <row r="89" s="10" customFormat="1" hidden="1"/>
    <row r="90" s="10" customFormat="1" hidden="1"/>
    <row r="91" s="10" customFormat="1" hidden="1"/>
    <row r="92" s="10" customFormat="1" hidden="1"/>
    <row r="93" s="10" customFormat="1" hidden="1"/>
    <row r="94" s="10" customFormat="1" hidden="1"/>
    <row r="95" s="10" customFormat="1" hidden="1"/>
    <row r="96" s="10" customFormat="1" hidden="1"/>
    <row r="97" s="10" customFormat="1" hidden="1"/>
    <row r="98" s="10" customFormat="1" hidden="1"/>
    <row r="99" s="10" customFormat="1" hidden="1"/>
    <row r="100" s="10" customFormat="1" hidden="1"/>
    <row r="101" s="10" customFormat="1" hidden="1"/>
    <row r="102" s="10" customFormat="1" hidden="1"/>
    <row r="103" s="10" customFormat="1" hidden="1"/>
    <row r="104" s="10" customFormat="1" hidden="1"/>
    <row r="105" s="10" customFormat="1" hidden="1"/>
    <row r="106" s="10" customFormat="1" hidden="1"/>
    <row r="107" s="10" customFormat="1" hidden="1"/>
    <row r="108" s="10" customFormat="1" hidden="1"/>
    <row r="109" s="10" customFormat="1" hidden="1"/>
  </sheetData>
  <mergeCells count="1">
    <mergeCell ref="B9:M11"/>
  </mergeCells>
  <conditionalFormatting sqref="C20:M20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F56C8-34D6-AB46-A9EA-F8CF4B4A8BC4}">
  <dimension ref="A1:S79"/>
  <sheetViews>
    <sheetView showGridLines="0" showRowColHeaders="0" workbookViewId="0"/>
  </sheetViews>
  <sheetFormatPr baseColWidth="10" defaultColWidth="0" defaultRowHeight="16" zeroHeight="1"/>
  <cols>
    <col min="1" max="1" width="10.1640625" style="10" customWidth="1"/>
    <col min="2" max="2" width="42.5" bestFit="1" customWidth="1"/>
    <col min="3" max="12" width="12.1640625" customWidth="1"/>
    <col min="13" max="19" width="10.1640625" customWidth="1"/>
    <col min="20" max="16384" width="10.1640625" hidden="1"/>
  </cols>
  <sheetData>
    <row r="1" spans="2:19"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2:19"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</row>
    <row r="3" spans="2:19"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</row>
    <row r="4" spans="2:19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</row>
    <row r="5" spans="2:19"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</row>
    <row r="6" spans="2:19"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</row>
    <row r="7" spans="2:19"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</row>
    <row r="8" spans="2:19" ht="17" thickBot="1"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</row>
    <row r="9" spans="2:19" ht="16" customHeight="1">
      <c r="B9" s="101" t="s">
        <v>72</v>
      </c>
      <c r="C9" s="102"/>
      <c r="D9" s="102"/>
      <c r="E9" s="102"/>
      <c r="F9" s="102"/>
      <c r="G9" s="102"/>
      <c r="H9" s="102"/>
      <c r="I9" s="102"/>
      <c r="J9" s="102"/>
      <c r="K9" s="102"/>
      <c r="L9" s="103"/>
      <c r="M9" s="10"/>
      <c r="N9" s="10"/>
      <c r="O9" s="10"/>
      <c r="P9" s="10"/>
      <c r="Q9" s="10"/>
      <c r="R9" s="10"/>
      <c r="S9" s="10"/>
    </row>
    <row r="10" spans="2:19" ht="16" customHeight="1">
      <c r="B10" s="104"/>
      <c r="C10" s="105"/>
      <c r="D10" s="105"/>
      <c r="E10" s="105"/>
      <c r="F10" s="105"/>
      <c r="G10" s="105"/>
      <c r="H10" s="105"/>
      <c r="I10" s="105"/>
      <c r="J10" s="105"/>
      <c r="K10" s="105"/>
      <c r="L10" s="106"/>
      <c r="M10" s="10"/>
      <c r="N10" s="10"/>
      <c r="O10" s="10"/>
      <c r="P10" s="10"/>
      <c r="Q10" s="10"/>
      <c r="R10" s="10"/>
      <c r="S10" s="10"/>
    </row>
    <row r="11" spans="2:19" ht="16" customHeight="1">
      <c r="B11" s="104"/>
      <c r="C11" s="105"/>
      <c r="D11" s="105"/>
      <c r="E11" s="105"/>
      <c r="F11" s="105"/>
      <c r="G11" s="105"/>
      <c r="H11" s="105"/>
      <c r="I11" s="105"/>
      <c r="J11" s="105"/>
      <c r="K11" s="105"/>
      <c r="L11" s="106"/>
      <c r="M11" s="10"/>
      <c r="N11" s="10"/>
      <c r="O11" s="10"/>
      <c r="P11" s="10"/>
      <c r="Q11" s="10"/>
      <c r="R11" s="10"/>
      <c r="S11" s="10"/>
    </row>
    <row r="12" spans="2:19" ht="16" customHeight="1" thickBot="1">
      <c r="B12" s="41" t="s">
        <v>66</v>
      </c>
      <c r="C12" s="42">
        <v>2025</v>
      </c>
      <c r="D12" s="42">
        <v>2026</v>
      </c>
      <c r="E12" s="42">
        <v>2027</v>
      </c>
      <c r="F12" s="42">
        <v>2028</v>
      </c>
      <c r="G12" s="42">
        <v>2029</v>
      </c>
      <c r="H12" s="42">
        <v>2030</v>
      </c>
      <c r="I12" s="42">
        <v>2031</v>
      </c>
      <c r="J12" s="42">
        <v>2032</v>
      </c>
      <c r="K12" s="42">
        <v>2033</v>
      </c>
      <c r="L12" s="43">
        <v>2034</v>
      </c>
      <c r="M12" s="10"/>
      <c r="N12" s="10"/>
      <c r="O12" s="10"/>
      <c r="P12" s="10"/>
      <c r="Q12" s="10"/>
      <c r="R12" s="10"/>
      <c r="S12" s="10"/>
    </row>
    <row r="13" spans="2:19" ht="17" customHeight="1">
      <c r="B13" s="50" t="s">
        <v>50</v>
      </c>
      <c r="C13" s="51">
        <f ca="1">'Financial model'!F23</f>
        <v>86649.584412624943</v>
      </c>
      <c r="D13" s="51">
        <f ca="1">'Financial model'!G23</f>
        <v>84388.963951952828</v>
      </c>
      <c r="E13" s="51">
        <f ca="1">'Financial model'!H23</f>
        <v>93101.608176873357</v>
      </c>
      <c r="F13" s="51">
        <f ca="1">'Financial model'!I23</f>
        <v>102525.51860276458</v>
      </c>
      <c r="G13" s="51">
        <f ca="1">'Financial model'!J23</f>
        <v>112710.09137564083</v>
      </c>
      <c r="H13" s="51">
        <f ca="1">'Financial model'!K23</f>
        <v>123707.24826874878</v>
      </c>
      <c r="I13" s="51">
        <f ca="1">'Financial model'!L23</f>
        <v>135571.4318643728</v>
      </c>
      <c r="J13" s="51">
        <f ca="1">'Financial model'!M23</f>
        <v>148359.57307624788</v>
      </c>
      <c r="K13" s="51">
        <f ca="1">'Financial model'!N23</f>
        <v>162131.0253836484</v>
      </c>
      <c r="L13" s="52">
        <f ca="1">'Financial model'!O23</f>
        <v>176947.45928390097</v>
      </c>
      <c r="M13" s="10"/>
      <c r="N13" s="10"/>
      <c r="O13" s="10"/>
      <c r="P13" s="10"/>
      <c r="Q13" s="10"/>
      <c r="R13" s="10"/>
      <c r="S13" s="10"/>
    </row>
    <row r="14" spans="2:19">
      <c r="B14" s="63" t="s">
        <v>51</v>
      </c>
      <c r="C14" s="64">
        <f ca="1">-'Financial model'!F20</f>
        <v>12757.381052631579</v>
      </c>
      <c r="D14" s="64">
        <f ca="1">-'Financial model'!G20</f>
        <v>23923.729795013856</v>
      </c>
      <c r="E14" s="64">
        <f ca="1">-'Financial model'!H20</f>
        <v>28523.186110278475</v>
      </c>
      <c r="F14" s="64">
        <f ca="1">-'Financial model'!I20</f>
        <v>33814.912618728842</v>
      </c>
      <c r="G14" s="64">
        <f ca="1">-'Financial model'!J20</f>
        <v>39892.59155670031</v>
      </c>
      <c r="H14" s="64">
        <f ca="1">-'Financial model'!K20</f>
        <v>46861.847617531923</v>
      </c>
      <c r="I14" s="64">
        <f ca="1">-'Financial model'!L20</f>
        <v>54841.713169200557</v>
      </c>
      <c r="J14" s="64">
        <f ca="1">-'Financial model'!M20</f>
        <v>63966.268517079778</v>
      </c>
      <c r="K14" s="64">
        <f ca="1">-'Financial model'!N20</f>
        <v>74386.477718795257</v>
      </c>
      <c r="L14" s="62">
        <f ca="1">-'Financial model'!O20</f>
        <v>86272.24282489359</v>
      </c>
      <c r="M14" s="10"/>
      <c r="N14" s="10"/>
      <c r="O14" s="10"/>
      <c r="P14" s="10"/>
      <c r="Q14" s="10"/>
      <c r="R14" s="10"/>
      <c r="S14" s="10"/>
    </row>
    <row r="15" spans="2:19">
      <c r="B15" s="53" t="s">
        <v>52</v>
      </c>
      <c r="C15" s="54"/>
      <c r="D15" s="54"/>
      <c r="E15" s="54"/>
      <c r="F15" s="54"/>
      <c r="G15" s="55"/>
      <c r="H15" s="55"/>
      <c r="I15" s="55"/>
      <c r="J15" s="55"/>
      <c r="K15" s="55"/>
      <c r="L15" s="56"/>
      <c r="M15" s="39"/>
      <c r="N15" s="10"/>
      <c r="O15" s="10"/>
      <c r="P15" s="10"/>
      <c r="Q15" s="10"/>
      <c r="R15" s="10"/>
      <c r="S15" s="10"/>
    </row>
    <row r="16" spans="2:19">
      <c r="B16" s="63" t="s">
        <v>53</v>
      </c>
      <c r="C16" s="64">
        <f>-('Financial model'!F29-'Financial model'!E29)</f>
        <v>23353.910000000003</v>
      </c>
      <c r="D16" s="64">
        <f>-('Financial model'!G29-'Financial model'!F29)</f>
        <v>-7061.1090000000113</v>
      </c>
      <c r="E16" s="64">
        <f>-('Financial model'!H29-'Financial model'!G29)</f>
        <v>-7767.219900000011</v>
      </c>
      <c r="F16" s="64">
        <f>-('Financial model'!I29-'Financial model'!H29)</f>
        <v>-8543.9418900000164</v>
      </c>
      <c r="G16" s="64">
        <f>-('Financial model'!J29-'Financial model'!I29)</f>
        <v>-9398.3360790000152</v>
      </c>
      <c r="H16" s="64">
        <f>-('Financial model'!K29-'Financial model'!J29)</f>
        <v>-10338.169686900015</v>
      </c>
      <c r="I16" s="64">
        <f>-('Financial model'!L29-'Financial model'!K29)</f>
        <v>-11371.986655590008</v>
      </c>
      <c r="J16" s="64">
        <f>-('Financial model'!M29-'Financial model'!L29)</f>
        <v>-12509.185321149023</v>
      </c>
      <c r="K16" s="64">
        <f>-('Financial model'!N29-'Financial model'!M29)</f>
        <v>-13760.103853263921</v>
      </c>
      <c r="L16" s="62">
        <f>-('Financial model'!O29-'Financial model'!N29)</f>
        <v>-15136.114238590293</v>
      </c>
      <c r="M16" s="39"/>
      <c r="N16" s="10"/>
      <c r="O16" s="10"/>
      <c r="P16" s="10"/>
      <c r="Q16" s="10"/>
      <c r="R16" s="10"/>
      <c r="S16" s="10"/>
    </row>
    <row r="17" spans="2:19">
      <c r="B17" s="53" t="s">
        <v>54</v>
      </c>
      <c r="C17" s="57">
        <f>'Financial model'!F36-'Financial model'!E36</f>
        <v>-46317.751999999993</v>
      </c>
      <c r="D17" s="57">
        <f>'Financial model'!G36-'Financial model'!F36</f>
        <v>3765.9248000000007</v>
      </c>
      <c r="E17" s="57">
        <f>'Financial model'!H36-'Financial model'!G36</f>
        <v>4142.5172800000073</v>
      </c>
      <c r="F17" s="57">
        <f>'Financial model'!I36-'Financial model'!H36</f>
        <v>4556.7690080000102</v>
      </c>
      <c r="G17" s="57">
        <f>'Financial model'!J36-'Financial model'!I36</f>
        <v>5012.4459088000076</v>
      </c>
      <c r="H17" s="57">
        <f>'Financial model'!K36-'Financial model'!J36</f>
        <v>5513.6904996800076</v>
      </c>
      <c r="I17" s="57">
        <f>'Financial model'!L36-'Financial model'!K36</f>
        <v>6065.0595496480018</v>
      </c>
      <c r="J17" s="57">
        <f>'Financial model'!M36-'Financial model'!L36</f>
        <v>6671.5655046128086</v>
      </c>
      <c r="K17" s="57">
        <f>'Financial model'!N36-'Financial model'!M36</f>
        <v>7338.7220550740894</v>
      </c>
      <c r="L17" s="58">
        <f>'Financial model'!O36-'Financial model'!N36</f>
        <v>8072.5942605815071</v>
      </c>
      <c r="M17" s="10"/>
      <c r="N17" s="10"/>
      <c r="O17" s="10"/>
      <c r="P17" s="10"/>
      <c r="Q17" s="10"/>
      <c r="R17" s="10"/>
      <c r="S17" s="10"/>
    </row>
    <row r="18" spans="2:19">
      <c r="B18" s="63" t="s">
        <v>55</v>
      </c>
      <c r="C18" s="64">
        <f ca="1">SUM(C13:C17)</f>
        <v>76443.123465256533</v>
      </c>
      <c r="D18" s="64">
        <f t="shared" ref="D18:L18" ca="1" si="0">SUM(D13:D17)</f>
        <v>105017.50954696667</v>
      </c>
      <c r="E18" s="64">
        <f t="shared" ca="1" si="0"/>
        <v>118000.09166715184</v>
      </c>
      <c r="F18" s="64">
        <f t="shared" ca="1" si="0"/>
        <v>132353.25833949342</v>
      </c>
      <c r="G18" s="64">
        <f t="shared" ca="1" si="0"/>
        <v>148216.79276214109</v>
      </c>
      <c r="H18" s="64">
        <f t="shared" ca="1" si="0"/>
        <v>165744.61669906069</v>
      </c>
      <c r="I18" s="64">
        <f t="shared" ca="1" si="0"/>
        <v>185106.21792763134</v>
      </c>
      <c r="J18" s="64">
        <f t="shared" ca="1" si="0"/>
        <v>206488.22177679144</v>
      </c>
      <c r="K18" s="64">
        <f t="shared" ca="1" si="0"/>
        <v>230096.12130425381</v>
      </c>
      <c r="L18" s="62">
        <f t="shared" ca="1" si="0"/>
        <v>256156.1821307858</v>
      </c>
      <c r="M18" s="10"/>
      <c r="N18" s="10"/>
      <c r="O18" s="10"/>
      <c r="P18" s="10"/>
      <c r="Q18" s="10"/>
      <c r="R18" s="10"/>
      <c r="S18" s="10"/>
    </row>
    <row r="19" spans="2:19">
      <c r="B19" s="59"/>
      <c r="C19" s="54"/>
      <c r="D19" s="54"/>
      <c r="E19" s="54"/>
      <c r="F19" s="54"/>
      <c r="G19" s="55"/>
      <c r="H19" s="55"/>
      <c r="I19" s="55"/>
      <c r="J19" s="55"/>
      <c r="K19" s="55"/>
      <c r="L19" s="56"/>
      <c r="M19" s="10"/>
      <c r="N19" s="10"/>
      <c r="O19" s="10"/>
      <c r="P19" s="10"/>
      <c r="Q19" s="10"/>
      <c r="R19" s="10"/>
      <c r="S19" s="10"/>
    </row>
    <row r="20" spans="2:19">
      <c r="B20" s="67" t="s">
        <v>56</v>
      </c>
      <c r="C20" s="68"/>
      <c r="D20" s="68"/>
      <c r="E20" s="68"/>
      <c r="F20" s="68"/>
      <c r="G20" s="65"/>
      <c r="H20" s="65"/>
      <c r="I20" s="65"/>
      <c r="J20" s="65"/>
      <c r="K20" s="65"/>
      <c r="L20" s="66"/>
      <c r="M20" s="10"/>
      <c r="N20" s="10"/>
      <c r="O20" s="10"/>
      <c r="P20" s="10"/>
      <c r="Q20" s="10"/>
      <c r="R20" s="10"/>
      <c r="S20" s="10"/>
    </row>
    <row r="21" spans="2:19">
      <c r="B21" s="53" t="s">
        <v>57</v>
      </c>
      <c r="C21" s="60">
        <f ca="1">-('Financial model'!F31-'Financial model'!E31)</f>
        <v>-180573.62105263158</v>
      </c>
      <c r="D21" s="60">
        <f ca="1">-('Financial model'!G31-'Financial model'!F31)</f>
        <v>-42753.353795013914</v>
      </c>
      <c r="E21" s="60">
        <f ca="1">-('Financial model'!H31-'Financial model'!G31)</f>
        <v>-49235.772510278504</v>
      </c>
      <c r="F21" s="60">
        <f ca="1">-('Financial model'!I31-'Financial model'!H31)</f>
        <v>-56598.757658728864</v>
      </c>
      <c r="G21" s="60">
        <f ca="1">-('Financial model'!J31-'Financial model'!I31)</f>
        <v>-64954.821100700414</v>
      </c>
      <c r="H21" s="60">
        <f ca="1">-('Financial model'!K31-'Financial model'!J31)</f>
        <v>-74430.300115931896</v>
      </c>
      <c r="I21" s="60">
        <f ca="1">-('Financial model'!L31-'Financial model'!K31)</f>
        <v>-85167.010917440639</v>
      </c>
      <c r="J21" s="60">
        <f ca="1">-('Financial model'!M31-'Financial model'!L31)</f>
        <v>-97324.096040143864</v>
      </c>
      <c r="K21" s="60">
        <f ca="1">-('Financial model'!N31-'Financial model'!M31)</f>
        <v>-111080.0879941656</v>
      </c>
      <c r="L21" s="61">
        <f ca="1">-('Financial model'!O31-'Financial model'!N31)</f>
        <v>-126635.21412780101</v>
      </c>
      <c r="M21" s="10"/>
      <c r="N21" s="10"/>
      <c r="O21" s="10"/>
      <c r="P21" s="10"/>
      <c r="Q21" s="10"/>
      <c r="R21" s="10"/>
      <c r="S21" s="10"/>
    </row>
    <row r="22" spans="2:19">
      <c r="B22" s="63" t="s">
        <v>58</v>
      </c>
      <c r="C22" s="64"/>
      <c r="D22" s="64"/>
      <c r="E22" s="64"/>
      <c r="F22" s="64"/>
      <c r="G22" s="65"/>
      <c r="H22" s="65"/>
      <c r="I22" s="65"/>
      <c r="J22" s="65"/>
      <c r="K22" s="65"/>
      <c r="L22" s="66"/>
      <c r="M22" s="10"/>
      <c r="N22" s="10"/>
      <c r="O22" s="10"/>
      <c r="P22" s="10"/>
      <c r="Q22" s="10"/>
      <c r="R22" s="10"/>
      <c r="S22" s="10"/>
    </row>
    <row r="23" spans="2:19">
      <c r="B23" s="53" t="s">
        <v>59</v>
      </c>
      <c r="C23" s="57"/>
      <c r="D23" s="57"/>
      <c r="E23" s="57"/>
      <c r="F23" s="57"/>
      <c r="G23" s="55"/>
      <c r="H23" s="55"/>
      <c r="I23" s="55"/>
      <c r="J23" s="55"/>
      <c r="K23" s="55"/>
      <c r="L23" s="56"/>
      <c r="M23" s="10"/>
      <c r="N23" s="10"/>
      <c r="O23" s="10"/>
      <c r="P23" s="10"/>
      <c r="Q23" s="10"/>
      <c r="R23" s="10"/>
      <c r="S23" s="10"/>
    </row>
    <row r="24" spans="2:19">
      <c r="B24" s="63" t="s">
        <v>60</v>
      </c>
      <c r="C24" s="69">
        <f ca="1">SUM(C21:C23)</f>
        <v>-180573.62105263158</v>
      </c>
      <c r="D24" s="69">
        <f t="shared" ref="D24:L24" ca="1" si="1">SUM(D21:D23)</f>
        <v>-42753.353795013914</v>
      </c>
      <c r="E24" s="69">
        <f t="shared" ca="1" si="1"/>
        <v>-49235.772510278504</v>
      </c>
      <c r="F24" s="69">
        <f t="shared" ca="1" si="1"/>
        <v>-56598.757658728864</v>
      </c>
      <c r="G24" s="69">
        <f t="shared" ca="1" si="1"/>
        <v>-64954.821100700414</v>
      </c>
      <c r="H24" s="69">
        <f t="shared" ca="1" si="1"/>
        <v>-74430.300115931896</v>
      </c>
      <c r="I24" s="69">
        <f t="shared" ca="1" si="1"/>
        <v>-85167.010917440639</v>
      </c>
      <c r="J24" s="69">
        <f t="shared" ca="1" si="1"/>
        <v>-97324.096040143864</v>
      </c>
      <c r="K24" s="69">
        <f t="shared" ca="1" si="1"/>
        <v>-111080.0879941656</v>
      </c>
      <c r="L24" s="70">
        <f t="shared" ca="1" si="1"/>
        <v>-126635.21412780101</v>
      </c>
      <c r="M24" s="10"/>
      <c r="N24" s="10"/>
      <c r="O24" s="10"/>
      <c r="P24" s="10"/>
      <c r="Q24" s="10"/>
      <c r="R24" s="10"/>
      <c r="S24" s="10"/>
    </row>
    <row r="25" spans="2:19">
      <c r="B25" s="59"/>
      <c r="C25" s="54"/>
      <c r="D25" s="54"/>
      <c r="E25" s="54"/>
      <c r="F25" s="54"/>
      <c r="G25" s="55"/>
      <c r="H25" s="55"/>
      <c r="I25" s="55"/>
      <c r="J25" s="55"/>
      <c r="K25" s="55"/>
      <c r="L25" s="56"/>
      <c r="M25" s="10"/>
      <c r="N25" s="10"/>
      <c r="O25" s="10"/>
      <c r="P25" s="10"/>
      <c r="Q25" s="10"/>
      <c r="R25" s="10"/>
      <c r="S25" s="10"/>
    </row>
    <row r="26" spans="2:19">
      <c r="B26" s="67" t="s">
        <v>61</v>
      </c>
      <c r="C26" s="68"/>
      <c r="D26" s="68"/>
      <c r="E26" s="68"/>
      <c r="F26" s="68"/>
      <c r="G26" s="65"/>
      <c r="H26" s="65"/>
      <c r="I26" s="65"/>
      <c r="J26" s="65"/>
      <c r="K26" s="65"/>
      <c r="L26" s="66"/>
      <c r="M26" s="10"/>
      <c r="N26" s="10"/>
      <c r="O26" s="10"/>
      <c r="P26" s="10"/>
      <c r="Q26" s="10"/>
      <c r="R26" s="10"/>
      <c r="S26" s="10"/>
    </row>
    <row r="27" spans="2:19">
      <c r="B27" s="53" t="s">
        <v>62</v>
      </c>
      <c r="C27" s="57">
        <f ca="1">'Financial model'!F37-'Financial model'!E37</f>
        <v>30113.875323787477</v>
      </c>
      <c r="D27" s="57">
        <f ca="1">'Financial model'!G37-'Financial model'!F37</f>
        <v>25316.689185585856</v>
      </c>
      <c r="E27" s="57">
        <f ca="1">'Financial model'!H37-'Financial model'!G37</f>
        <v>27930.48245306201</v>
      </c>
      <c r="F27" s="57">
        <f ca="1">'Financial model'!I37-'Financial model'!H37</f>
        <v>30757.655580829378</v>
      </c>
      <c r="G27" s="57">
        <f ca="1">'Financial model'!J37-'Financial model'!I37</f>
        <v>33813.02741269226</v>
      </c>
      <c r="H27" s="57">
        <f ca="1">'Financial model'!K37-'Financial model'!J37</f>
        <v>37112.174480624613</v>
      </c>
      <c r="I27" s="57">
        <f ca="1">'Financial model'!L37-'Financial model'!K37</f>
        <v>40671.42955931183</v>
      </c>
      <c r="J27" s="57">
        <f ca="1">'Financial model'!M37-'Financial model'!L37</f>
        <v>44507.871922874358</v>
      </c>
      <c r="K27" s="57">
        <f ca="1">'Financial model'!N37-'Financial model'!M37</f>
        <v>48639.307615094527</v>
      </c>
      <c r="L27" s="58">
        <f ca="1">'Financial model'!O37-'Financial model'!N37</f>
        <v>53084.23778517032</v>
      </c>
      <c r="M27" s="10"/>
      <c r="N27" s="10"/>
      <c r="O27" s="10"/>
      <c r="P27" s="10"/>
      <c r="Q27" s="10"/>
      <c r="R27" s="10"/>
      <c r="S27" s="10"/>
    </row>
    <row r="28" spans="2:19">
      <c r="B28" s="63" t="s">
        <v>63</v>
      </c>
      <c r="C28" s="64"/>
      <c r="D28" s="64"/>
      <c r="E28" s="64"/>
      <c r="F28" s="64"/>
      <c r="G28" s="65"/>
      <c r="H28" s="65"/>
      <c r="I28" s="65"/>
      <c r="J28" s="65"/>
      <c r="K28" s="65"/>
      <c r="L28" s="66"/>
      <c r="M28" s="10"/>
      <c r="N28" s="10"/>
      <c r="O28" s="10"/>
      <c r="P28" s="10"/>
      <c r="Q28" s="10"/>
      <c r="R28" s="10"/>
      <c r="S28" s="10"/>
    </row>
    <row r="29" spans="2:19">
      <c r="B29" s="53" t="s">
        <v>64</v>
      </c>
      <c r="C29" s="60">
        <f ca="1">'Financial model'!F24</f>
        <v>-34659.833765049982</v>
      </c>
      <c r="D29" s="60">
        <f ca="1">'Financial model'!G24</f>
        <v>-33755.585580781131</v>
      </c>
      <c r="E29" s="60">
        <f ca="1">'Financial model'!H24</f>
        <v>-37240.643270749344</v>
      </c>
      <c r="F29" s="60">
        <f ca="1">'Financial model'!I24</f>
        <v>-41010.207441105835</v>
      </c>
      <c r="G29" s="60">
        <f ca="1">'Financial model'!J24</f>
        <v>-45084.036550256336</v>
      </c>
      <c r="H29" s="60">
        <f ca="1">'Financial model'!K24</f>
        <v>-49482.899307499516</v>
      </c>
      <c r="I29" s="60">
        <f ca="1">'Financial model'!L24</f>
        <v>-54228.572745749123</v>
      </c>
      <c r="J29" s="60">
        <f ca="1">'Financial model'!M24</f>
        <v>-59343.829230499156</v>
      </c>
      <c r="K29" s="60">
        <f ca="1">'Financial model'!N24</f>
        <v>-64852.410153459365</v>
      </c>
      <c r="L29" s="61">
        <f ca="1">'Financial model'!O24</f>
        <v>-70778.983713560388</v>
      </c>
      <c r="M29" s="10"/>
      <c r="N29" s="10"/>
      <c r="O29" s="10"/>
      <c r="P29" s="10"/>
      <c r="Q29" s="10"/>
      <c r="R29" s="10"/>
      <c r="S29" s="10"/>
    </row>
    <row r="30" spans="2:19">
      <c r="B30" s="63" t="s">
        <v>65</v>
      </c>
      <c r="C30" s="64">
        <f ca="1">SUM(C27:C29)</f>
        <v>-4545.9584412625045</v>
      </c>
      <c r="D30" s="64">
        <f t="shared" ref="D30:L30" ca="1" si="2">SUM(D27:D29)</f>
        <v>-8438.8963951952755</v>
      </c>
      <c r="E30" s="64">
        <f t="shared" ca="1" si="2"/>
        <v>-9310.1608176873342</v>
      </c>
      <c r="F30" s="64">
        <f t="shared" ca="1" si="2"/>
        <v>-10252.551860276457</v>
      </c>
      <c r="G30" s="64">
        <f t="shared" ca="1" si="2"/>
        <v>-11271.009137564077</v>
      </c>
      <c r="H30" s="64">
        <f t="shared" ca="1" si="2"/>
        <v>-12370.724826874903</v>
      </c>
      <c r="I30" s="64">
        <f t="shared" ca="1" si="2"/>
        <v>-13557.143186437293</v>
      </c>
      <c r="J30" s="64">
        <f t="shared" ca="1" si="2"/>
        <v>-14835.957307624798</v>
      </c>
      <c r="K30" s="64">
        <f t="shared" ca="1" si="2"/>
        <v>-16213.102538364838</v>
      </c>
      <c r="L30" s="62">
        <f t="shared" ca="1" si="2"/>
        <v>-17694.745928390068</v>
      </c>
      <c r="M30" s="10"/>
      <c r="N30" s="10"/>
      <c r="O30" s="10"/>
      <c r="P30" s="10"/>
      <c r="Q30" s="10"/>
      <c r="R30" s="10"/>
      <c r="S30" s="10"/>
    </row>
    <row r="31" spans="2:19">
      <c r="B31" s="59"/>
      <c r="C31" s="54"/>
      <c r="D31" s="54"/>
      <c r="E31" s="54"/>
      <c r="F31" s="54"/>
      <c r="G31" s="55"/>
      <c r="H31" s="55"/>
      <c r="I31" s="55"/>
      <c r="J31" s="55"/>
      <c r="K31" s="55"/>
      <c r="L31" s="56"/>
      <c r="M31" s="10"/>
      <c r="N31" s="10"/>
      <c r="O31" s="10"/>
      <c r="P31" s="10"/>
      <c r="Q31" s="10"/>
      <c r="R31" s="10"/>
      <c r="S31" s="10"/>
    </row>
    <row r="32" spans="2:19">
      <c r="B32" s="44" t="s">
        <v>67</v>
      </c>
      <c r="C32" s="45">
        <f ca="1">C18+C24+C30</f>
        <v>-108676.45602863756</v>
      </c>
      <c r="D32" s="45">
        <f t="shared" ref="D32:L32" ca="1" si="3">D18+D24+D30</f>
        <v>53825.25935675748</v>
      </c>
      <c r="E32" s="45">
        <f t="shared" ca="1" si="3"/>
        <v>59454.158339185997</v>
      </c>
      <c r="F32" s="45">
        <f ca="1">F18+F24+F30</f>
        <v>65501.948820488098</v>
      </c>
      <c r="G32" s="45">
        <f t="shared" ca="1" si="3"/>
        <v>71990.962523876602</v>
      </c>
      <c r="H32" s="45">
        <f t="shared" ca="1" si="3"/>
        <v>78943.591756253882</v>
      </c>
      <c r="I32" s="45">
        <f t="shared" ca="1" si="3"/>
        <v>86382.063823753415</v>
      </c>
      <c r="J32" s="45">
        <f t="shared" ca="1" si="3"/>
        <v>94328.168429022771</v>
      </c>
      <c r="K32" s="45">
        <f t="shared" ca="1" si="3"/>
        <v>102802.93077172338</v>
      </c>
      <c r="L32" s="46">
        <f t="shared" ca="1" si="3"/>
        <v>111826.22207459473</v>
      </c>
      <c r="M32" s="10"/>
      <c r="N32" s="10"/>
      <c r="O32" s="10"/>
      <c r="P32" s="10"/>
      <c r="Q32" s="10"/>
      <c r="R32" s="10"/>
      <c r="S32" s="10"/>
    </row>
    <row r="33" spans="2:19" ht="17" thickBot="1">
      <c r="B33" s="47" t="s">
        <v>68</v>
      </c>
      <c r="C33" s="48">
        <f ca="1">'Financial model'!F28-'Financial model'!E28+'Financial model'!E28</f>
        <v>-108676.45602863756</v>
      </c>
      <c r="D33" s="48">
        <f ca="1">'Financial model'!G28-'Financial model'!F28</f>
        <v>53825.259356757495</v>
      </c>
      <c r="E33" s="48">
        <f ca="1">'Financial model'!H28-'Financial model'!G28</f>
        <v>59454.158339186004</v>
      </c>
      <c r="F33" s="48">
        <f ca="1">'Financial model'!I28-'Financial model'!H28</f>
        <v>65501.948820488062</v>
      </c>
      <c r="G33" s="48">
        <f ca="1">'Financial model'!J28-'Financial model'!I28</f>
        <v>71990.962523876777</v>
      </c>
      <c r="H33" s="48">
        <f ca="1">'Financial model'!K28-'Financial model'!J28</f>
        <v>78943.591756253794</v>
      </c>
      <c r="I33" s="48">
        <f ca="1">'Financial model'!L28-'Financial model'!K28</f>
        <v>86382.063823753386</v>
      </c>
      <c r="J33" s="48">
        <f ca="1">'Financial model'!M28-'Financial model'!L28</f>
        <v>94328.168429022888</v>
      </c>
      <c r="K33" s="48">
        <f ca="1">'Financial model'!N28-'Financial model'!M28</f>
        <v>102802.93077172322</v>
      </c>
      <c r="L33" s="49">
        <f ca="1">'Financial model'!O28-'Financial model'!N28</f>
        <v>111826.22207459481</v>
      </c>
      <c r="M33" s="10"/>
      <c r="N33" s="10"/>
      <c r="O33" s="10"/>
      <c r="P33" s="10"/>
      <c r="Q33" s="10"/>
      <c r="R33" s="10"/>
      <c r="S33" s="10"/>
    </row>
    <row r="34" spans="2:19"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</row>
    <row r="35" spans="2:19"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</row>
    <row r="36" spans="2:19">
      <c r="B36" s="10"/>
      <c r="C36" s="10"/>
      <c r="D36" s="4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</row>
    <row r="37" spans="2:19"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</row>
    <row r="38" spans="2:19"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</row>
    <row r="39" spans="2:19"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</row>
    <row r="40" spans="2:19"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</row>
    <row r="41" spans="2:19"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</row>
    <row r="42" spans="2:19"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</row>
    <row r="43" spans="2:19"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</row>
    <row r="44" spans="2:19"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</row>
    <row r="45" spans="2:19"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</row>
    <row r="46" spans="2:19"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</row>
    <row r="47" spans="2:19"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</row>
    <row r="48" spans="2:19"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</row>
    <row r="49" spans="2:19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</row>
    <row r="50" spans="2:19"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</row>
    <row r="51" spans="2:19"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</row>
    <row r="52" spans="2:19"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</row>
    <row r="53" spans="2:19"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</row>
    <row r="54" spans="2:19"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</row>
    <row r="55" spans="2:19" hidden="1"/>
    <row r="56" spans="2:19" hidden="1"/>
    <row r="57" spans="2:19" hidden="1"/>
    <row r="58" spans="2:19" hidden="1"/>
    <row r="59" spans="2:19" hidden="1"/>
    <row r="60" spans="2:19" hidden="1"/>
    <row r="61" spans="2:19" hidden="1"/>
    <row r="62" spans="2:19" hidden="1"/>
    <row r="63" spans="2:19" hidden="1"/>
    <row r="64" spans="2:19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</sheetData>
  <mergeCells count="1">
    <mergeCell ref="B9:L11"/>
  </mergeCells>
  <hyperlinks>
    <hyperlink ref="M9:M13" location="'Statement of Cashflows'!A1" display="Statement of Cashflows" xr:uid="{BC175D3A-FDE5-D941-9101-E21B8503648F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Home</vt:lpstr>
      <vt:lpstr>Financial model</vt:lpstr>
      <vt:lpstr>Free Cash Flows</vt:lpstr>
      <vt:lpstr>Statement of Cashflows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2025-12-14T13:15:46Z</dcterms:created>
  <dcterms:modified xsi:type="dcterms:W3CDTF">2026-03-14T11:48:03Z</dcterms:modified>
</cp:coreProperties>
</file>